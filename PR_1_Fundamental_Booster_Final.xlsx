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rey patel\Downloads\"/>
    </mc:Choice>
  </mc:AlternateContent>
  <xr:revisionPtr revIDLastSave="0" documentId="13_ncr:1_{C645B7E5-943F-4CA4-A93A-E4497E4C1B05}" xr6:coauthVersionLast="47" xr6:coauthVersionMax="47" xr10:uidLastSave="{00000000-0000-0000-0000-000000000000}"/>
  <bookViews>
    <workbookView xWindow="-108" yWindow="-108" windowWidth="23256" windowHeight="13896" activeTab="2"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 i="3" l="1"/>
  <c r="M26" i="3"/>
  <c r="M22" i="3"/>
  <c r="M18" i="3"/>
  <c r="N14" i="3" a="1"/>
  <c r="M22" i="2"/>
  <c r="M18" i="2"/>
  <c r="M14" i="2"/>
  <c r="M10" i="2"/>
  <c r="M6" i="2"/>
  <c r="N6" i="4"/>
  <c r="N2" i="4"/>
  <c r="K115" i="4"/>
  <c r="K3" i="3"/>
  <c r="K4" i="3"/>
  <c r="K5" i="3"/>
  <c r="K6" i="3"/>
  <c r="K7" i="3"/>
  <c r="K8" i="3"/>
  <c r="K9" i="3"/>
  <c r="K10" i="3"/>
  <c r="K11" i="3"/>
  <c r="K12" i="3"/>
  <c r="K13" i="3"/>
  <c r="K14" i="3"/>
  <c r="K15" i="3"/>
  <c r="K16" i="3"/>
  <c r="K17" i="3"/>
  <c r="K18" i="3"/>
  <c r="K19" i="3"/>
  <c r="K20" i="3"/>
  <c r="K21" i="3"/>
  <c r="K2" i="3"/>
  <c r="H134" i="4"/>
  <c r="G134" i="4"/>
  <c r="H130" i="4"/>
  <c r="G130" i="4"/>
  <c r="H126" i="4"/>
  <c r="G126" i="4"/>
  <c r="H122" i="4"/>
  <c r="M10" i="3"/>
  <c r="M6" i="3"/>
  <c r="M2" i="3"/>
  <c r="J3" i="3"/>
  <c r="J4" i="3"/>
  <c r="J5" i="3"/>
  <c r="J6" i="3"/>
  <c r="J7" i="3"/>
  <c r="J8" i="3"/>
  <c r="J9" i="3"/>
  <c r="J10" i="3"/>
  <c r="J11" i="3"/>
  <c r="J12" i="3"/>
  <c r="J13" i="3"/>
  <c r="J14" i="3"/>
  <c r="J15" i="3"/>
  <c r="J16" i="3"/>
  <c r="J17" i="3"/>
  <c r="J18" i="3"/>
  <c r="J19" i="3"/>
  <c r="J20" i="3"/>
  <c r="J21" i="3"/>
  <c r="J2" i="3"/>
  <c r="H118" i="4"/>
  <c r="H114" i="4"/>
  <c r="H110" i="4"/>
  <c r="H106" i="4"/>
  <c r="H102" i="4"/>
  <c r="H98" i="4"/>
  <c r="H94" i="4"/>
  <c r="H90" i="4"/>
  <c r="H86" i="4"/>
  <c r="H82" i="4"/>
  <c r="H78" i="4"/>
  <c r="H74" i="4"/>
  <c r="H70" i="4"/>
  <c r="H66" i="4"/>
  <c r="H62" i="4"/>
  <c r="H57" i="4"/>
  <c r="H54" i="4"/>
  <c r="H49" i="4"/>
  <c r="H45" i="4"/>
  <c r="H41" i="4"/>
  <c r="H37" i="4"/>
  <c r="H33" i="4"/>
  <c r="H30" i="4"/>
  <c r="H26" i="4"/>
  <c r="I22" i="4"/>
  <c r="H22" i="4"/>
  <c r="H18" i="4"/>
  <c r="H14" i="4"/>
  <c r="H10" i="4"/>
  <c r="H6" i="4"/>
  <c r="H2" i="4"/>
  <c r="H21" i="3"/>
  <c r="H17" i="3"/>
  <c r="H13" i="3"/>
  <c r="I9" i="3"/>
  <c r="H5" i="3"/>
  <c r="H2" i="3"/>
  <c r="A26" i="2" a="1"/>
  <c r="M2" i="2"/>
  <c r="K2" i="2"/>
  <c r="J3" i="2"/>
  <c r="J4" i="2"/>
  <c r="J5" i="2"/>
  <c r="J6" i="2"/>
  <c r="J7" i="2"/>
  <c r="J8" i="2"/>
  <c r="J9" i="2"/>
  <c r="J10" i="2"/>
  <c r="J11" i="2"/>
  <c r="J12" i="2"/>
  <c r="J13" i="2"/>
  <c r="J14" i="2"/>
  <c r="J15" i="2"/>
  <c r="J16" i="2"/>
  <c r="J17" i="2"/>
  <c r="J18" i="2"/>
  <c r="J19" i="2"/>
  <c r="J20" i="2"/>
  <c r="J21" i="2"/>
  <c r="J2" i="2"/>
  <c r="I2" i="2"/>
  <c r="H3" i="2"/>
  <c r="H4" i="2"/>
  <c r="H5" i="2"/>
  <c r="H6" i="2"/>
  <c r="H7" i="2"/>
  <c r="H8" i="2"/>
  <c r="H9" i="2"/>
  <c r="H10" i="2"/>
  <c r="H11" i="2"/>
  <c r="H12" i="2"/>
  <c r="H13" i="2"/>
  <c r="H14" i="2"/>
  <c r="H15" i="2"/>
  <c r="H16" i="2"/>
  <c r="H17" i="2"/>
  <c r="H18" i="2"/>
  <c r="H19" i="2"/>
  <c r="H20" i="2"/>
  <c r="H21" i="2"/>
  <c r="H2" i="2"/>
  <c r="G3" i="2"/>
  <c r="G4" i="2"/>
  <c r="G5" i="2"/>
  <c r="G6" i="2"/>
  <c r="G7" i="2"/>
  <c r="G8" i="2"/>
  <c r="G9" i="2"/>
  <c r="G10" i="2"/>
  <c r="G11" i="2"/>
  <c r="G12" i="2"/>
  <c r="G13" i="2"/>
  <c r="G14" i="2"/>
  <c r="G15" i="2"/>
  <c r="G16" i="2"/>
  <c r="G17" i="2"/>
  <c r="G18" i="2"/>
  <c r="G19" i="2"/>
  <c r="G20" i="2"/>
  <c r="G21" i="2"/>
  <c r="G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<sst xmlns="http://schemas.openxmlformats.org/spreadsheetml/2006/main" count="329" uniqueCount="182">
  <si>
    <t>PR. 1 Fundamental Booster</t>
  </si>
  <si>
    <t>Student ID</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</si>
  <si>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</si>
  <si>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Name</t>
  </si>
  <si>
    <t>Math</t>
  </si>
  <si>
    <t>Science</t>
  </si>
  <si>
    <t>English</t>
  </si>
  <si>
    <t>Enrollment Date</t>
  </si>
  <si>
    <t>Essential Tasks</t>
  </si>
  <si>
    <t>Sales ID</t>
  </si>
  <si>
    <t>Relative &amp; Absolute Cell References, Formatting, and Data Input</t>
  </si>
  <si>
    <t>Product</t>
  </si>
  <si>
    <t>Region</t>
  </si>
  <si>
    <t>Student 1</t>
  </si>
  <si>
    <t>Salesperson</t>
  </si>
  <si>
    <t>Amount</t>
  </si>
  <si>
    <t>Date</t>
  </si>
  <si>
    <t>Enter and format data (bold, italic, currency, date, custom formats).</t>
  </si>
  <si>
    <t>Student 2</t>
  </si>
  <si>
    <t>Use absolute ($A$1) and relative (A1) references in formulas.</t>
  </si>
  <si>
    <t>Student 3</t>
  </si>
  <si>
    <t>Keyboard</t>
  </si>
  <si>
    <t>South</t>
  </si>
  <si>
    <t>Person 1</t>
  </si>
  <si>
    <t>Employee ID</t>
  </si>
  <si>
    <t>Using IF Formula &amp; Nesting IF Formulas</t>
  </si>
  <si>
    <t>Student 4</t>
  </si>
  <si>
    <t>Department</t>
  </si>
  <si>
    <t>Salary</t>
  </si>
  <si>
    <t>Joining Date</t>
  </si>
  <si>
    <t>Printer</t>
  </si>
  <si>
    <t>Classify students' grades based on their scores.</t>
  </si>
  <si>
    <t>West</t>
  </si>
  <si>
    <t>Person 2</t>
  </si>
  <si>
    <t>Student 5</t>
  </si>
  <si>
    <t>Compute discounts for sales based on price thresholds.</t>
  </si>
  <si>
    <t>Mouse</t>
  </si>
  <si>
    <t>Person 3</t>
  </si>
  <si>
    <t>Employee 1</t>
  </si>
  <si>
    <t>Finance</t>
  </si>
  <si>
    <t>Student 6</t>
  </si>
  <si>
    <t>Using IF with AND/OR Formulas</t>
  </si>
  <si>
    <t>East</t>
  </si>
  <si>
    <t>Employee 2</t>
  </si>
  <si>
    <t>Person 4</t>
  </si>
  <si>
    <t>Student 7</t>
  </si>
  <si>
    <t>Identify students who scored above 80 in both Math &amp; Science using IF(AND(...)).</t>
  </si>
  <si>
    <t>Employee 3</t>
  </si>
  <si>
    <t>HR</t>
  </si>
  <si>
    <t>Student 8</t>
  </si>
  <si>
    <t>North</t>
  </si>
  <si>
    <t>Person 5</t>
  </si>
  <si>
    <t>Employee 4</t>
  </si>
  <si>
    <t>Determine whether a product is eligible for discount using IF(OR(...)).</t>
  </si>
  <si>
    <t>Student 9</t>
  </si>
  <si>
    <t>Person 6</t>
  </si>
  <si>
    <t>Employee 5</t>
  </si>
  <si>
    <t>IT</t>
  </si>
  <si>
    <t>COUNTIFS, SUMIFS, AVERAGEIFS</t>
  </si>
  <si>
    <t>Employee 6</t>
  </si>
  <si>
    <t>Student 10</t>
  </si>
  <si>
    <t>Count the number of students who scored above 50 in Math.</t>
  </si>
  <si>
    <t>Person 7</t>
  </si>
  <si>
    <t>Employee 7</t>
  </si>
  <si>
    <t>Marketing</t>
  </si>
  <si>
    <t>Sum total sales for a specific region and product.</t>
  </si>
  <si>
    <t>Student 11</t>
  </si>
  <si>
    <t>Employee 8</t>
  </si>
  <si>
    <t>Person 8</t>
  </si>
  <si>
    <t>Calculate the average score for students who scored above 60.</t>
  </si>
  <si>
    <t>Employee 9</t>
  </si>
  <si>
    <t>Student 12</t>
  </si>
  <si>
    <t>Person 9</t>
  </si>
  <si>
    <t>Employee 10</t>
  </si>
  <si>
    <t>VLOOKUP Function</t>
  </si>
  <si>
    <t>Employee 11</t>
  </si>
  <si>
    <t>Student 13</t>
  </si>
  <si>
    <t>Person 10</t>
  </si>
  <si>
    <t>Fetch student names based on ID from a separate dataset.</t>
  </si>
  <si>
    <t>Employee 12</t>
  </si>
  <si>
    <t>Retrieve product prices based on product codes.</t>
  </si>
  <si>
    <t>Student 14</t>
  </si>
  <si>
    <t>Employee 13</t>
  </si>
  <si>
    <t>Person 11</t>
  </si>
  <si>
    <t>Employee 14</t>
  </si>
  <si>
    <t>Student 15</t>
  </si>
  <si>
    <t>INDEX and MATCH Functions</t>
  </si>
  <si>
    <t>Monitor</t>
  </si>
  <si>
    <t>Student 16</t>
  </si>
  <si>
    <t>Person 12</t>
  </si>
  <si>
    <t>Employee 15</t>
  </si>
  <si>
    <t>Find sales values for a specific salesperson in a specific month.</t>
  </si>
  <si>
    <t>Employee 16</t>
  </si>
  <si>
    <t>Student 17</t>
  </si>
  <si>
    <t>Laptop</t>
  </si>
  <si>
    <t>Person 13</t>
  </si>
  <si>
    <t>Look up employee details dynamically without column restrictions.</t>
  </si>
  <si>
    <t>Employee 17</t>
  </si>
  <si>
    <t>Student 18</t>
  </si>
  <si>
    <t>Person 14</t>
  </si>
  <si>
    <t>Employee 18</t>
  </si>
  <si>
    <t>Student 19</t>
  </si>
  <si>
    <t>Person 15</t>
  </si>
  <si>
    <t>Excel TEXT Functions</t>
  </si>
  <si>
    <t>Employee 19</t>
  </si>
  <si>
    <t>Extract the first name from full names using LEFT and FIND.</t>
  </si>
  <si>
    <t>Employee 20</t>
  </si>
  <si>
    <t>Person 16</t>
  </si>
  <si>
    <t>Convert names to uppercase/lowercase using UPPER(), LOWER().</t>
  </si>
  <si>
    <t>Person 17</t>
  </si>
  <si>
    <t>Student 20</t>
  </si>
  <si>
    <t>Person 18</t>
  </si>
  <si>
    <t>XLOOKUP Function</t>
  </si>
  <si>
    <t>Person 19</t>
  </si>
  <si>
    <t>Search for salesperson performance based on flexible search criteria.</t>
  </si>
  <si>
    <t>Person 20</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</si>
  <si>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</si>
  <si>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</si>
  <si>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</si>
  <si>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</si>
  <si>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</si>
  <si>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</si>
  <si>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</si>
  <si>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</si>
  <si>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</si>
  <si>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</si>
  <si>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</si>
  <si>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</si>
  <si>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</si>
  <si>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</si>
  <si>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Average Marks</t>
  </si>
  <si>
    <t>Grade</t>
  </si>
  <si>
    <t xml:space="preserve"> Students above 60 in Math</t>
  </si>
  <si>
    <t>Math $ Science Result</t>
  </si>
  <si>
    <t>Average Marks Above 60</t>
  </si>
  <si>
    <t>Search Student ID</t>
  </si>
  <si>
    <t>Student Name</t>
  </si>
  <si>
    <t>Top Performing Students</t>
  </si>
  <si>
    <t>Total Sales</t>
  </si>
  <si>
    <t>Sales Amount</t>
  </si>
  <si>
    <t>Search Sales ID</t>
  </si>
  <si>
    <t>Product Name</t>
  </si>
  <si>
    <t>Search Employee ID</t>
  </si>
  <si>
    <t>Employee Name</t>
  </si>
  <si>
    <t>Employee Salary</t>
  </si>
  <si>
    <t>Employee Position</t>
  </si>
  <si>
    <t>First Name</t>
  </si>
  <si>
    <t>Uppercase</t>
  </si>
  <si>
    <t>Lowercase</t>
  </si>
  <si>
    <t>Average Salary</t>
  </si>
  <si>
    <t>Employee Count</t>
  </si>
  <si>
    <t>Highest Salary</t>
  </si>
  <si>
    <t>Lowest Salary</t>
  </si>
  <si>
    <t>Total Salary</t>
  </si>
  <si>
    <t>Total Employee</t>
  </si>
  <si>
    <t>Salary Above 80000</t>
  </si>
  <si>
    <t>Departmnet</t>
  </si>
  <si>
    <t>Deparment</t>
  </si>
  <si>
    <t>Years of Experience</t>
  </si>
  <si>
    <t>Total Days Worked</t>
  </si>
  <si>
    <t>Joining Year</t>
  </si>
  <si>
    <t>Joining Month</t>
  </si>
  <si>
    <t>Discount</t>
  </si>
  <si>
    <t>Position</t>
  </si>
  <si>
    <t>Sales Range</t>
  </si>
  <si>
    <t>E2:E21</t>
  </si>
  <si>
    <t>Sales records</t>
  </si>
  <si>
    <t>Date Of Birth</t>
  </si>
  <si>
    <t>Age</t>
  </si>
  <si>
    <t>Original Salary</t>
  </si>
  <si>
    <t>Rounded Salary</t>
  </si>
  <si>
    <t>CEILING Salary</t>
  </si>
  <si>
    <t>FLOOR Salary</t>
  </si>
  <si>
    <t>Discount Eligibility</t>
  </si>
  <si>
    <t>Bonus Rate</t>
  </si>
  <si>
    <t>Bonus Amount</t>
  </si>
  <si>
    <t>Student Grade</t>
  </si>
  <si>
    <t>Student above 60 in both subjects</t>
  </si>
  <si>
    <t>Total Students</t>
  </si>
  <si>
    <t>Students above 60 in Math and Science</t>
  </si>
  <si>
    <t>Month</t>
  </si>
  <si>
    <t>Person10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</si>
</sst>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6" formatCode="&quot;₹&quot;\ #,##0.00"/>
  </numFmts>
  <fonts count="13">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b/>
      <sz val="11"/>
      <color rgb="FF000000"/>
      <name val="Calibri"/>
      <family val="2"/>
    </font>
  </fonts>
  <fills count="5">
    <fill>
      <patternFill patternType="none"/>
    </fill>
    <fill>
      <patternFill patternType="gray125"/>
    </fill>
    <fill>
      <patternFill patternType="solid">
        <fgColor rgb="FFFFF2CC"/>
        <bgColor rgb="FFFFF2CC"/>
      </patternFill>
    </fill>
    <fill>
      <patternFill patternType="solid">
        <fgColor theme="4" tint="0.59999389629810485"/>
        <bgColor rgb="FFFFF2CC"/>
      </patternFill>
    </fill>
    <fill>
      <patternFill patternType="solid">
        <fgColor theme="4"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3" fillId="2" borderId="1" xfId="0" applyFont="1" applyFill="1" applyBorder="1" applyAlignment="1">
      <alignment horizontal="center" vertical="center"/>
    </xf>
    <xf numFmtId="0" fontId="4" fillId="0" borderId="0" xfId="0" applyFont="1" applyAlignment="1">
      <alignment vertical="center"/>
    </xf>
    <xf numFmtId="0" fontId="5" fillId="0" borderId="1" xfId="0" applyFont="1" applyBorder="1" applyAlignment="1">
      <alignment vertical="center"/>
    </xf>
    <xf numFmtId="0" fontId="6"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vertical="center"/>
    </xf>
    <xf numFmtId="164" fontId="5" fillId="0" borderId="1" xfId="0" applyNumberFormat="1" applyFont="1" applyBorder="1" applyAlignment="1">
      <alignment horizontal="center" vertical="center"/>
    </xf>
    <xf numFmtId="0" fontId="4" fillId="0" borderId="1" xfId="0" applyFont="1" applyBorder="1" applyAlignment="1">
      <alignment vertical="center"/>
    </xf>
    <xf numFmtId="0" fontId="11" fillId="0" borderId="0" xfId="0" applyFont="1" applyAlignment="1">
      <alignment horizontal="center" vertical="center"/>
    </xf>
    <xf numFmtId="0" fontId="2" fillId="0" borderId="0" xfId="0" applyFont="1" applyAlignment="1">
      <alignment horizontal="center" vertical="center"/>
    </xf>
    <xf numFmtId="14" fontId="4" fillId="0" borderId="0" xfId="0" applyNumberFormat="1" applyFont="1" applyAlignment="1">
      <alignment horizontal="center" vertical="center"/>
    </xf>
    <xf numFmtId="2" fontId="4" fillId="0" borderId="0" xfId="0" applyNumberFormat="1" applyFont="1" applyAlignment="1">
      <alignment horizontal="center" vertical="center"/>
    </xf>
    <xf numFmtId="9" fontId="4" fillId="0" borderId="0" xfId="0" applyNumberFormat="1" applyFont="1" applyAlignment="1">
      <alignment horizontal="center" vertical="center"/>
    </xf>
    <xf numFmtId="166"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xf>
    <xf numFmtId="0" fontId="1" fillId="0" borderId="0" xfId="0" applyFont="1" applyAlignment="1">
      <alignment horizontal="center" vertical="center"/>
    </xf>
    <xf numFmtId="0" fontId="12" fillId="3" borderId="2" xfId="0" applyFont="1" applyFill="1" applyBorder="1" applyAlignment="1">
      <alignment horizontal="center" vertical="center"/>
    </xf>
    <xf numFmtId="0" fontId="11" fillId="4" borderId="2" xfId="0" applyFont="1" applyFill="1" applyBorder="1" applyAlignment="1">
      <alignment horizontal="center" vertical="center"/>
    </xf>
    <xf numFmtId="0" fontId="5" fillId="0" borderId="2" xfId="0" applyFont="1" applyBorder="1" applyAlignment="1">
      <alignment horizontal="center" vertical="center"/>
    </xf>
    <xf numFmtId="164" fontId="5" fillId="0" borderId="2" xfId="0" applyNumberFormat="1" applyFont="1" applyBorder="1" applyAlignment="1">
      <alignment horizontal="center" vertical="center"/>
    </xf>
    <xf numFmtId="0" fontId="4" fillId="0" borderId="2" xfId="0" applyFont="1" applyBorder="1" applyAlignment="1">
      <alignment horizontal="center" vertical="center"/>
    </xf>
    <xf numFmtId="2" fontId="4"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36" workbookViewId="0"/>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3" t="s">
        <v>2</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8</v>
      </c>
      <c r="B5" s="2"/>
      <c r="C5" s="2"/>
      <c r="D5" s="2"/>
      <c r="E5" s="2"/>
      <c r="F5" s="2"/>
      <c r="G5" s="2"/>
      <c r="H5" s="2"/>
      <c r="I5" s="2"/>
      <c r="J5" s="2"/>
      <c r="K5" s="2"/>
      <c r="L5" s="2"/>
      <c r="M5" s="2"/>
      <c r="N5" s="2"/>
      <c r="O5" s="2"/>
      <c r="P5" s="2"/>
      <c r="Q5" s="2"/>
      <c r="R5" s="2"/>
      <c r="S5" s="2"/>
      <c r="T5" s="2"/>
      <c r="U5" s="2"/>
      <c r="V5" s="2"/>
      <c r="W5" s="2"/>
      <c r="X5" s="2"/>
      <c r="Y5" s="2"/>
      <c r="Z5" s="2"/>
    </row>
    <row r="6" spans="1:26">
      <c r="A6" s="7" t="s">
        <v>10</v>
      </c>
      <c r="B6" s="2"/>
      <c r="C6" s="2"/>
      <c r="D6" s="2"/>
      <c r="E6" s="2"/>
      <c r="F6" s="2"/>
      <c r="G6" s="2"/>
      <c r="H6" s="2"/>
      <c r="I6" s="2"/>
      <c r="J6" s="2"/>
      <c r="K6" s="2"/>
      <c r="L6" s="2"/>
      <c r="M6" s="2"/>
      <c r="N6" s="2"/>
      <c r="O6" s="2"/>
      <c r="P6" s="2"/>
      <c r="Q6" s="2"/>
      <c r="R6" s="2"/>
      <c r="S6" s="2"/>
      <c r="T6" s="2"/>
      <c r="U6" s="2"/>
      <c r="V6" s="2"/>
      <c r="W6" s="2"/>
      <c r="X6" s="2"/>
      <c r="Y6" s="2"/>
      <c r="Z6" s="2"/>
    </row>
    <row r="7" spans="1:26">
      <c r="A7" s="9" t="s">
        <v>17</v>
      </c>
      <c r="B7" s="2"/>
      <c r="C7" s="2"/>
      <c r="D7" s="2"/>
      <c r="E7" s="2"/>
      <c r="F7" s="2"/>
      <c r="G7" s="2"/>
      <c r="H7" s="2"/>
      <c r="I7" s="2"/>
      <c r="J7" s="2"/>
      <c r="K7" s="2"/>
      <c r="L7" s="2"/>
      <c r="M7" s="2"/>
      <c r="N7" s="2"/>
      <c r="O7" s="2"/>
      <c r="P7" s="2"/>
      <c r="Q7" s="2"/>
      <c r="R7" s="2"/>
      <c r="S7" s="2"/>
      <c r="T7" s="2"/>
      <c r="U7" s="2"/>
      <c r="V7" s="2"/>
      <c r="W7" s="2"/>
      <c r="X7" s="2"/>
      <c r="Y7" s="2"/>
      <c r="Z7" s="2"/>
    </row>
    <row r="8" spans="1:26">
      <c r="A8" s="9" t="s">
        <v>19</v>
      </c>
      <c r="B8" s="2"/>
      <c r="C8" s="2"/>
      <c r="D8" s="2"/>
      <c r="E8" s="2"/>
      <c r="F8" s="2"/>
      <c r="G8" s="2"/>
      <c r="H8" s="2"/>
      <c r="I8" s="2"/>
      <c r="J8" s="2"/>
      <c r="K8" s="2"/>
      <c r="L8" s="2"/>
      <c r="M8" s="2"/>
      <c r="N8" s="2"/>
      <c r="O8" s="2"/>
      <c r="P8" s="2"/>
      <c r="Q8" s="2"/>
      <c r="R8" s="2"/>
      <c r="S8" s="2"/>
      <c r="T8" s="2"/>
      <c r="U8" s="2"/>
      <c r="V8" s="2"/>
      <c r="W8" s="2"/>
      <c r="X8" s="2"/>
      <c r="Y8" s="2"/>
      <c r="Z8" s="2"/>
    </row>
    <row r="9" spans="1:26">
      <c r="A9" s="9"/>
      <c r="B9" s="2"/>
      <c r="C9" s="2"/>
      <c r="D9" s="2"/>
      <c r="E9" s="2"/>
      <c r="F9" s="2"/>
      <c r="G9" s="2"/>
      <c r="H9" s="2"/>
      <c r="I9" s="2"/>
      <c r="J9" s="2"/>
      <c r="K9" s="2"/>
      <c r="L9" s="2"/>
      <c r="M9" s="2"/>
      <c r="N9" s="2"/>
      <c r="O9" s="2"/>
      <c r="P9" s="2"/>
      <c r="Q9" s="2"/>
      <c r="R9" s="2"/>
      <c r="S9" s="2"/>
      <c r="T9" s="2"/>
      <c r="U9" s="2"/>
      <c r="V9" s="2"/>
      <c r="W9" s="2"/>
      <c r="X9" s="2"/>
      <c r="Y9" s="2"/>
      <c r="Z9" s="2"/>
    </row>
    <row r="10" spans="1:26">
      <c r="A10" s="7" t="s">
        <v>25</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9" t="s">
        <v>31</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9" t="s">
        <v>35</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9"/>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7" t="s">
        <v>41</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9" t="s">
        <v>46</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9" t="s">
        <v>53</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9"/>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7" t="s">
        <v>58</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9" t="s">
        <v>61</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9" t="s">
        <v>65</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9" t="s">
        <v>69</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9"/>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7" t="s">
        <v>74</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9" t="s">
        <v>78</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9" t="s">
        <v>80</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9"/>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7" t="s">
        <v>86</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9" t="s">
        <v>91</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9" t="s">
        <v>96</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9"/>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7" t="s">
        <v>103</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9" t="s">
        <v>105</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9" t="s">
        <v>108</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9"/>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7" t="s">
        <v>112</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9" t="s">
        <v>114</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9" t="s">
        <v>116</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9"/>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7" t="s">
        <v>117</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9" t="s">
        <v>118</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9"/>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7" t="s">
        <v>119</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9" t="s">
        <v>120</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9"/>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7" t="s">
        <v>121</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9" t="s">
        <v>122</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9"/>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7" t="s">
        <v>123</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9" t="s">
        <v>124</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9" t="s">
        <v>125</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9"/>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7" t="s">
        <v>126</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9" t="s">
        <v>127</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9"/>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7" t="s">
        <v>128</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9" t="s">
        <v>129</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1" workbookViewId="0">
      <selection activeCell="M22" sqref="M22"/>
    </sheetView>
  </sheetViews>
  <sheetFormatPr defaultColWidth="14.44140625" defaultRowHeight="15" customHeight="1"/>
  <cols>
    <col min="1" max="1" width="21.33203125" bestFit="1" customWidth="1"/>
    <col min="2" max="2" width="10.44140625" customWidth="1"/>
    <col min="3" max="3" width="5.88671875" customWidth="1"/>
    <col min="4" max="4" width="7.5546875" customWidth="1"/>
    <col min="5" max="5" width="7.33203125" customWidth="1"/>
    <col min="6" max="6" width="18.88671875" customWidth="1"/>
    <col min="7" max="7" width="14.5546875" customWidth="1"/>
    <col min="8" max="8" width="10.109375" customWidth="1"/>
    <col min="9" max="9" width="26.33203125" customWidth="1"/>
    <col min="10" max="10" width="32.77734375" customWidth="1"/>
    <col min="11" max="11" width="24.6640625" customWidth="1"/>
    <col min="12" max="12" width="33.109375" bestFit="1" customWidth="1"/>
    <col min="13" max="13" width="12.5546875" bestFit="1" customWidth="1"/>
    <col min="14" max="26" width="8.6640625" customWidth="1"/>
  </cols>
  <sheetData>
    <row r="1" spans="1:26" ht="14.4">
      <c r="A1" s="18" t="s">
        <v>1</v>
      </c>
      <c r="B1" s="18" t="s">
        <v>3</v>
      </c>
      <c r="C1" s="18" t="s">
        <v>4</v>
      </c>
      <c r="D1" s="18" t="s">
        <v>5</v>
      </c>
      <c r="E1" s="18" t="s">
        <v>6</v>
      </c>
      <c r="F1" s="18" t="s">
        <v>7</v>
      </c>
      <c r="G1" s="19" t="s">
        <v>130</v>
      </c>
      <c r="H1" s="19" t="s">
        <v>131</v>
      </c>
      <c r="I1" s="10" t="s">
        <v>132</v>
      </c>
      <c r="J1" s="10" t="s">
        <v>133</v>
      </c>
      <c r="K1" s="10" t="s">
        <v>134</v>
      </c>
      <c r="L1" s="10" t="s">
        <v>135</v>
      </c>
      <c r="M1" s="11" t="s">
        <v>136</v>
      </c>
      <c r="N1" s="5"/>
      <c r="O1" s="5"/>
      <c r="P1" s="5"/>
      <c r="Q1" s="5"/>
      <c r="R1" s="5"/>
      <c r="S1" s="5"/>
      <c r="T1" s="5"/>
      <c r="U1" s="5"/>
      <c r="V1" s="5"/>
      <c r="W1" s="5"/>
      <c r="X1" s="5"/>
      <c r="Y1" s="5"/>
      <c r="Z1" s="5"/>
    </row>
    <row r="2" spans="1:26" ht="14.4">
      <c r="A2" s="20">
        <v>1001</v>
      </c>
      <c r="B2" s="20" t="s">
        <v>13</v>
      </c>
      <c r="C2" s="20">
        <v>61</v>
      </c>
      <c r="D2" s="20">
        <v>48</v>
      </c>
      <c r="E2" s="20">
        <v>76</v>
      </c>
      <c r="F2" s="21">
        <v>43101</v>
      </c>
      <c r="G2" s="23">
        <f>AVERAGE(C2:E2)</f>
        <v>61.666666666666664</v>
      </c>
      <c r="H2" s="22" t="str">
        <f>IF(G2&gt;=80,"A",IF(G2&gt;=60,"B",IF(G2&gt;=40,"C","Fail")))</f>
        <v>B</v>
      </c>
      <c r="I2" s="5">
        <f>COUNTIFS(C2:C21,"&gt;60")</f>
        <v>19</v>
      </c>
      <c r="J2" s="11" t="str">
        <f>IF(AND(C2&gt;80,D2&gt;80),"Excellent","Not Eligible")</f>
        <v>Not Eligible</v>
      </c>
      <c r="K2" s="5">
        <f>AVERAGEIFS($G$2:$G$21,$G$2:$G$21,"&gt;60")</f>
        <v>73.625000000000014</v>
      </c>
      <c r="L2" s="5">
        <v>1005</v>
      </c>
      <c r="M2" s="5" t="str">
        <f>VLOOKUP(L2,$A$2:$B$21,2,FALSE)</f>
        <v>Student 5</v>
      </c>
      <c r="N2" s="5"/>
      <c r="O2" s="5"/>
      <c r="P2" s="5"/>
      <c r="Q2" s="5"/>
      <c r="R2" s="5"/>
      <c r="S2" s="5"/>
      <c r="T2" s="5"/>
      <c r="U2" s="5"/>
      <c r="V2" s="5"/>
      <c r="W2" s="5"/>
      <c r="X2" s="5"/>
      <c r="Y2" s="5"/>
      <c r="Z2" s="5"/>
    </row>
    <row r="3" spans="1:26" ht="14.4">
      <c r="A3" s="20">
        <v>1002</v>
      </c>
      <c r="B3" s="20" t="s">
        <v>18</v>
      </c>
      <c r="C3" s="20">
        <v>78</v>
      </c>
      <c r="D3" s="20">
        <v>76</v>
      </c>
      <c r="E3" s="20">
        <v>70</v>
      </c>
      <c r="F3" s="21">
        <v>43281</v>
      </c>
      <c r="G3" s="23">
        <f t="shared" ref="G3:G21" si="0">AVERAGE(C3:E3)</f>
        <v>74.666666666666671</v>
      </c>
      <c r="H3" s="22" t="str">
        <f t="shared" ref="H3:H21" si="1">IF(G3&gt;=80,"A",IF(G3&gt;=60,"B",IF(G3&gt;=40,"C","Fail")))</f>
        <v>B</v>
      </c>
      <c r="I3" s="5"/>
      <c r="J3" s="11" t="str">
        <f t="shared" ref="J3:J21" si="2">IF(AND(C3&gt;80,D3&gt;80),"Excellent","Not Eligible")</f>
        <v>Not Eligible</v>
      </c>
      <c r="K3" s="5"/>
      <c r="L3" s="5"/>
      <c r="M3" s="5"/>
      <c r="N3" s="5"/>
      <c r="O3" s="5"/>
      <c r="P3" s="5"/>
      <c r="Q3" s="5"/>
      <c r="R3" s="5"/>
      <c r="S3" s="5"/>
      <c r="T3" s="5"/>
      <c r="U3" s="5"/>
      <c r="V3" s="5"/>
      <c r="W3" s="5"/>
      <c r="X3" s="5"/>
      <c r="Y3" s="5"/>
      <c r="Z3" s="5"/>
    </row>
    <row r="4" spans="1:26" ht="14.4">
      <c r="A4" s="20">
        <v>1003</v>
      </c>
      <c r="B4" s="20" t="s">
        <v>20</v>
      </c>
      <c r="C4" s="20">
        <v>97</v>
      </c>
      <c r="D4" s="20">
        <v>60</v>
      </c>
      <c r="E4" s="20">
        <v>51</v>
      </c>
      <c r="F4" s="21">
        <v>43461</v>
      </c>
      <c r="G4" s="23">
        <f t="shared" si="0"/>
        <v>69.333333333333329</v>
      </c>
      <c r="H4" s="22" t="str">
        <f t="shared" si="1"/>
        <v>B</v>
      </c>
      <c r="I4" s="5"/>
      <c r="J4" s="11" t="str">
        <f t="shared" si="2"/>
        <v>Not Eligible</v>
      </c>
      <c r="K4" s="5"/>
      <c r="L4" s="5"/>
      <c r="M4" s="5"/>
      <c r="N4" s="5"/>
      <c r="O4" s="5"/>
      <c r="P4" s="5"/>
      <c r="Q4" s="5"/>
      <c r="R4" s="5"/>
      <c r="S4" s="5"/>
      <c r="T4" s="5"/>
      <c r="U4" s="5"/>
      <c r="V4" s="5"/>
      <c r="W4" s="5"/>
      <c r="X4" s="5"/>
      <c r="Y4" s="5"/>
      <c r="Z4" s="5"/>
    </row>
    <row r="5" spans="1:26" ht="14.4">
      <c r="A5" s="20">
        <v>1004</v>
      </c>
      <c r="B5" s="20" t="s">
        <v>26</v>
      </c>
      <c r="C5" s="20">
        <v>74</v>
      </c>
      <c r="D5" s="20">
        <v>55</v>
      </c>
      <c r="E5" s="20">
        <v>46</v>
      </c>
      <c r="F5" s="21">
        <v>43641</v>
      </c>
      <c r="G5" s="23">
        <f t="shared" si="0"/>
        <v>58.333333333333336</v>
      </c>
      <c r="H5" s="22" t="str">
        <f t="shared" si="1"/>
        <v>C</v>
      </c>
      <c r="I5" s="5"/>
      <c r="J5" s="11" t="str">
        <f t="shared" si="2"/>
        <v>Not Eligible</v>
      </c>
      <c r="K5" s="5"/>
      <c r="L5" s="17" t="s">
        <v>1</v>
      </c>
      <c r="M5" s="17" t="s">
        <v>130</v>
      </c>
      <c r="N5" s="5"/>
      <c r="O5" s="5"/>
      <c r="P5" s="5"/>
      <c r="Q5" s="5"/>
      <c r="R5" s="5"/>
      <c r="S5" s="5"/>
      <c r="T5" s="5"/>
      <c r="U5" s="5"/>
      <c r="V5" s="5"/>
      <c r="W5" s="5"/>
      <c r="X5" s="5"/>
      <c r="Y5" s="5"/>
      <c r="Z5" s="5"/>
    </row>
    <row r="6" spans="1:26" ht="14.4">
      <c r="A6" s="20">
        <v>1005</v>
      </c>
      <c r="B6" s="20" t="s">
        <v>34</v>
      </c>
      <c r="C6" s="20">
        <v>68</v>
      </c>
      <c r="D6" s="20">
        <v>74</v>
      </c>
      <c r="E6" s="20">
        <v>84</v>
      </c>
      <c r="F6" s="21">
        <v>43821</v>
      </c>
      <c r="G6" s="23">
        <f t="shared" si="0"/>
        <v>75.333333333333329</v>
      </c>
      <c r="H6" s="22" t="str">
        <f t="shared" si="1"/>
        <v>B</v>
      </c>
      <c r="I6" s="5"/>
      <c r="J6" s="11" t="str">
        <f t="shared" si="2"/>
        <v>Not Eligible</v>
      </c>
      <c r="K6" s="5"/>
      <c r="L6" s="5">
        <v>1005</v>
      </c>
      <c r="M6" s="5">
        <f>VLOOKUP(L6,$A$2:$H$21,7,FALSE)</f>
        <v>75.333333333333329</v>
      </c>
      <c r="N6" s="5"/>
      <c r="O6" s="5"/>
      <c r="P6" s="5"/>
      <c r="Q6" s="5"/>
      <c r="R6" s="5"/>
      <c r="S6" s="5"/>
      <c r="T6" s="5"/>
      <c r="U6" s="5"/>
      <c r="V6" s="5"/>
      <c r="W6" s="5"/>
      <c r="X6" s="5"/>
      <c r="Y6" s="5"/>
      <c r="Z6" s="5"/>
    </row>
    <row r="7" spans="1:26" ht="14.4">
      <c r="A7" s="20">
        <v>1006</v>
      </c>
      <c r="B7" s="20" t="s">
        <v>40</v>
      </c>
      <c r="C7" s="20">
        <v>80</v>
      </c>
      <c r="D7" s="20">
        <v>70</v>
      </c>
      <c r="E7" s="20">
        <v>65</v>
      </c>
      <c r="F7" s="21">
        <v>44001</v>
      </c>
      <c r="G7" s="23">
        <f t="shared" si="0"/>
        <v>71.666666666666671</v>
      </c>
      <c r="H7" s="22" t="str">
        <f t="shared" si="1"/>
        <v>B</v>
      </c>
      <c r="I7" s="5"/>
      <c r="J7" s="11" t="str">
        <f t="shared" si="2"/>
        <v>Not Eligible</v>
      </c>
      <c r="K7" s="5"/>
      <c r="L7" s="5"/>
      <c r="M7" s="5"/>
      <c r="N7" s="5"/>
      <c r="O7" s="5"/>
      <c r="P7" s="5"/>
      <c r="Q7" s="5"/>
      <c r="R7" s="5"/>
      <c r="S7" s="5"/>
      <c r="T7" s="5"/>
      <c r="U7" s="5"/>
      <c r="V7" s="5"/>
      <c r="W7" s="5"/>
      <c r="X7" s="5"/>
      <c r="Y7" s="5"/>
      <c r="Z7" s="5"/>
    </row>
    <row r="8" spans="1:26" ht="14.4">
      <c r="A8" s="20">
        <v>1007</v>
      </c>
      <c r="B8" s="20" t="s">
        <v>45</v>
      </c>
      <c r="C8" s="20">
        <v>75</v>
      </c>
      <c r="D8" s="20">
        <v>47</v>
      </c>
      <c r="E8" s="20">
        <v>78</v>
      </c>
      <c r="F8" s="21">
        <v>44181</v>
      </c>
      <c r="G8" s="23">
        <f t="shared" si="0"/>
        <v>66.666666666666671</v>
      </c>
      <c r="H8" s="22" t="str">
        <f t="shared" si="1"/>
        <v>B</v>
      </c>
      <c r="I8" s="5"/>
      <c r="J8" s="11" t="str">
        <f t="shared" si="2"/>
        <v>Not Eligible</v>
      </c>
      <c r="K8" s="5"/>
      <c r="L8" s="5"/>
      <c r="M8" s="5"/>
      <c r="N8" s="5"/>
      <c r="O8" s="5"/>
      <c r="P8" s="5"/>
      <c r="Q8" s="5"/>
      <c r="R8" s="5"/>
      <c r="S8" s="5"/>
      <c r="T8" s="5"/>
      <c r="U8" s="5"/>
      <c r="V8" s="5"/>
      <c r="W8" s="5"/>
      <c r="X8" s="5"/>
      <c r="Y8" s="5"/>
      <c r="Z8" s="5"/>
    </row>
    <row r="9" spans="1:26" ht="14.4">
      <c r="A9" s="20">
        <v>1008</v>
      </c>
      <c r="B9" s="20" t="s">
        <v>49</v>
      </c>
      <c r="C9" s="20">
        <v>94</v>
      </c>
      <c r="D9" s="20">
        <v>67</v>
      </c>
      <c r="E9" s="20">
        <v>64</v>
      </c>
      <c r="F9" s="21">
        <v>44361</v>
      </c>
      <c r="G9" s="23">
        <f t="shared" si="0"/>
        <v>75</v>
      </c>
      <c r="H9" s="22" t="str">
        <f t="shared" si="1"/>
        <v>B</v>
      </c>
      <c r="I9" s="5"/>
      <c r="J9" s="11" t="str">
        <f t="shared" si="2"/>
        <v>Not Eligible</v>
      </c>
      <c r="K9" s="5"/>
      <c r="L9" s="17" t="s">
        <v>1</v>
      </c>
      <c r="M9" s="17" t="s">
        <v>176</v>
      </c>
      <c r="N9" s="5"/>
      <c r="O9" s="5"/>
      <c r="P9" s="5"/>
      <c r="Q9" s="5"/>
      <c r="R9" s="5"/>
      <c r="S9" s="5"/>
      <c r="T9" s="5"/>
      <c r="U9" s="5"/>
      <c r="V9" s="5"/>
      <c r="W9" s="5"/>
      <c r="X9" s="5"/>
      <c r="Y9" s="5"/>
      <c r="Z9" s="5"/>
    </row>
    <row r="10" spans="1:26" ht="14.4">
      <c r="A10" s="20">
        <v>1009</v>
      </c>
      <c r="B10" s="20" t="s">
        <v>54</v>
      </c>
      <c r="C10" s="20">
        <v>41</v>
      </c>
      <c r="D10" s="20">
        <v>75</v>
      </c>
      <c r="E10" s="20">
        <v>56</v>
      </c>
      <c r="F10" s="21">
        <v>44541</v>
      </c>
      <c r="G10" s="23">
        <f t="shared" si="0"/>
        <v>57.333333333333336</v>
      </c>
      <c r="H10" s="22" t="str">
        <f t="shared" si="1"/>
        <v>C</v>
      </c>
      <c r="I10" s="5"/>
      <c r="J10" s="11" t="str">
        <f t="shared" si="2"/>
        <v>Not Eligible</v>
      </c>
      <c r="K10" s="5"/>
      <c r="L10" s="5">
        <v>1005</v>
      </c>
      <c r="M10" s="5" t="str">
        <f>_xlfn.XLOOKUP(L10,A2:A21,H2:H21,"Not Found")</f>
        <v>B</v>
      </c>
      <c r="N10" s="5"/>
      <c r="O10" s="5"/>
      <c r="P10" s="5"/>
      <c r="Q10" s="5"/>
      <c r="R10" s="5"/>
      <c r="S10" s="5"/>
      <c r="T10" s="5"/>
      <c r="U10" s="5"/>
      <c r="V10" s="5"/>
      <c r="W10" s="5"/>
      <c r="X10" s="5"/>
      <c r="Y10" s="5"/>
      <c r="Z10" s="5"/>
    </row>
    <row r="11" spans="1:26" ht="14.4">
      <c r="A11" s="20">
        <v>1010</v>
      </c>
      <c r="B11" s="20" t="s">
        <v>60</v>
      </c>
      <c r="C11" s="20">
        <v>98</v>
      </c>
      <c r="D11" s="20">
        <v>54</v>
      </c>
      <c r="E11" s="20">
        <v>58</v>
      </c>
      <c r="F11" s="21">
        <v>44721</v>
      </c>
      <c r="G11" s="23">
        <f t="shared" si="0"/>
        <v>70</v>
      </c>
      <c r="H11" s="22" t="str">
        <f t="shared" si="1"/>
        <v>B</v>
      </c>
      <c r="I11" s="5"/>
      <c r="J11" s="11" t="str">
        <f t="shared" si="2"/>
        <v>Not Eligible</v>
      </c>
      <c r="K11" s="5"/>
      <c r="L11" s="5"/>
      <c r="M11" s="5"/>
      <c r="N11" s="5"/>
      <c r="O11" s="5"/>
      <c r="P11" s="5"/>
      <c r="Q11" s="5"/>
      <c r="R11" s="5"/>
      <c r="S11" s="5"/>
      <c r="T11" s="5"/>
      <c r="U11" s="5"/>
      <c r="V11" s="5"/>
      <c r="W11" s="5"/>
      <c r="X11" s="5"/>
      <c r="Y11" s="5"/>
      <c r="Z11" s="5"/>
    </row>
    <row r="12" spans="1:26" ht="14.4">
      <c r="A12" s="20">
        <v>1011</v>
      </c>
      <c r="B12" s="20" t="s">
        <v>66</v>
      </c>
      <c r="C12" s="20">
        <v>73</v>
      </c>
      <c r="D12" s="20">
        <v>79</v>
      </c>
      <c r="E12" s="20">
        <v>53</v>
      </c>
      <c r="F12" s="21">
        <v>44901</v>
      </c>
      <c r="G12" s="23">
        <f t="shared" si="0"/>
        <v>68.333333333333329</v>
      </c>
      <c r="H12" s="22" t="str">
        <f t="shared" si="1"/>
        <v>B</v>
      </c>
      <c r="I12" s="5"/>
      <c r="J12" s="11" t="str">
        <f t="shared" si="2"/>
        <v>Not Eligible</v>
      </c>
      <c r="K12" s="5"/>
      <c r="L12" s="5"/>
      <c r="M12" s="5"/>
      <c r="N12" s="5"/>
      <c r="O12" s="5"/>
      <c r="P12" s="5"/>
      <c r="Q12" s="5"/>
      <c r="R12" s="5"/>
      <c r="S12" s="5"/>
      <c r="T12" s="5"/>
      <c r="U12" s="5"/>
      <c r="V12" s="5"/>
      <c r="W12" s="5"/>
      <c r="X12" s="5"/>
      <c r="Y12" s="5"/>
      <c r="Z12" s="5"/>
    </row>
    <row r="13" spans="1:26" ht="14.4">
      <c r="A13" s="20">
        <v>1012</v>
      </c>
      <c r="B13" s="20" t="s">
        <v>71</v>
      </c>
      <c r="C13" s="20">
        <v>85</v>
      </c>
      <c r="D13" s="20">
        <v>89</v>
      </c>
      <c r="E13" s="20">
        <v>79</v>
      </c>
      <c r="F13" s="21">
        <v>45081</v>
      </c>
      <c r="G13" s="23">
        <f t="shared" si="0"/>
        <v>84.333333333333329</v>
      </c>
      <c r="H13" s="22" t="str">
        <f t="shared" si="1"/>
        <v>A</v>
      </c>
      <c r="I13" s="5"/>
      <c r="J13" s="11" t="str">
        <f t="shared" si="2"/>
        <v>Excellent</v>
      </c>
      <c r="K13" s="5"/>
      <c r="L13" s="17" t="s">
        <v>1</v>
      </c>
      <c r="M13" s="17" t="s">
        <v>131</v>
      </c>
      <c r="N13" s="5"/>
      <c r="O13" s="5"/>
      <c r="P13" s="5"/>
      <c r="Q13" s="5"/>
      <c r="R13" s="5"/>
      <c r="S13" s="5"/>
      <c r="T13" s="5"/>
      <c r="U13" s="5"/>
      <c r="V13" s="5"/>
      <c r="W13" s="5"/>
      <c r="X13" s="5"/>
      <c r="Y13" s="5"/>
      <c r="Z13" s="5"/>
    </row>
    <row r="14" spans="1:26" ht="14.4">
      <c r="A14" s="20">
        <v>1013</v>
      </c>
      <c r="B14" s="20" t="s">
        <v>76</v>
      </c>
      <c r="C14" s="20">
        <v>98</v>
      </c>
      <c r="D14" s="20">
        <v>90</v>
      </c>
      <c r="E14" s="20">
        <v>97</v>
      </c>
      <c r="F14" s="21">
        <v>45261</v>
      </c>
      <c r="G14" s="23">
        <f t="shared" si="0"/>
        <v>95</v>
      </c>
      <c r="H14" s="22" t="str">
        <f t="shared" si="1"/>
        <v>A</v>
      </c>
      <c r="I14" s="5"/>
      <c r="J14" s="11" t="str">
        <f t="shared" si="2"/>
        <v>Excellent</v>
      </c>
      <c r="K14" s="5"/>
      <c r="L14" s="5">
        <v>1010</v>
      </c>
      <c r="M14" s="5" t="str">
        <f>INDEX(H2:H21,MATCH(L14,A2:A21,0))</f>
        <v>B</v>
      </c>
      <c r="N14" s="5"/>
      <c r="O14" s="5"/>
      <c r="P14" s="5"/>
      <c r="Q14" s="5"/>
      <c r="R14" s="5"/>
      <c r="S14" s="5"/>
      <c r="T14" s="5"/>
      <c r="U14" s="5"/>
      <c r="V14" s="5"/>
      <c r="W14" s="5"/>
      <c r="X14" s="5"/>
      <c r="Y14" s="5"/>
      <c r="Z14" s="5"/>
    </row>
    <row r="15" spans="1:26" ht="14.4">
      <c r="A15" s="20">
        <v>1014</v>
      </c>
      <c r="B15" s="20" t="s">
        <v>81</v>
      </c>
      <c r="C15" s="20">
        <v>93</v>
      </c>
      <c r="D15" s="20">
        <v>40</v>
      </c>
      <c r="E15" s="20">
        <v>44</v>
      </c>
      <c r="F15" s="21">
        <v>45441</v>
      </c>
      <c r="G15" s="23">
        <f t="shared" si="0"/>
        <v>59</v>
      </c>
      <c r="H15" s="22" t="str">
        <f t="shared" si="1"/>
        <v>C</v>
      </c>
      <c r="I15" s="5"/>
      <c r="J15" s="11" t="str">
        <f t="shared" si="2"/>
        <v>Not Eligible</v>
      </c>
      <c r="K15" s="5"/>
      <c r="L15" s="5"/>
      <c r="M15" s="5"/>
      <c r="N15" s="5"/>
      <c r="O15" s="5"/>
      <c r="P15" s="5"/>
      <c r="Q15" s="5"/>
      <c r="R15" s="5"/>
      <c r="S15" s="5"/>
      <c r="T15" s="5"/>
      <c r="U15" s="5"/>
      <c r="V15" s="5"/>
      <c r="W15" s="5"/>
      <c r="X15" s="5"/>
      <c r="Y15" s="5"/>
      <c r="Z15" s="5"/>
    </row>
    <row r="16" spans="1:26" ht="14.4">
      <c r="A16" s="20">
        <v>1015</v>
      </c>
      <c r="B16" s="20" t="s">
        <v>85</v>
      </c>
      <c r="C16" s="20">
        <v>70</v>
      </c>
      <c r="D16" s="20">
        <v>51</v>
      </c>
      <c r="E16" s="20">
        <v>75</v>
      </c>
      <c r="F16" s="21">
        <v>45621</v>
      </c>
      <c r="G16" s="23">
        <f t="shared" si="0"/>
        <v>65.333333333333329</v>
      </c>
      <c r="H16" s="22" t="str">
        <f t="shared" si="1"/>
        <v>B</v>
      </c>
      <c r="I16" s="5"/>
      <c r="J16" s="11" t="str">
        <f t="shared" si="2"/>
        <v>Not Eligible</v>
      </c>
      <c r="K16" s="5"/>
      <c r="L16" s="5"/>
      <c r="M16" s="5"/>
      <c r="N16" s="5"/>
      <c r="O16" s="5"/>
      <c r="P16" s="5"/>
      <c r="Q16" s="5"/>
      <c r="R16" s="5"/>
      <c r="S16" s="5"/>
      <c r="T16" s="5"/>
      <c r="U16" s="5"/>
      <c r="V16" s="5"/>
      <c r="W16" s="5"/>
      <c r="X16" s="5"/>
      <c r="Y16" s="5"/>
      <c r="Z16" s="5"/>
    </row>
    <row r="17" spans="1:26" ht="14.4">
      <c r="A17" s="20">
        <v>1016</v>
      </c>
      <c r="B17" s="20" t="s">
        <v>88</v>
      </c>
      <c r="C17" s="20">
        <v>98</v>
      </c>
      <c r="D17" s="20">
        <v>77</v>
      </c>
      <c r="E17" s="20">
        <v>60</v>
      </c>
      <c r="F17" s="21">
        <v>45801</v>
      </c>
      <c r="G17" s="23">
        <f t="shared" si="0"/>
        <v>78.333333333333329</v>
      </c>
      <c r="H17" s="22" t="str">
        <f t="shared" si="1"/>
        <v>B</v>
      </c>
      <c r="I17" s="5"/>
      <c r="J17" s="11" t="str">
        <f t="shared" si="2"/>
        <v>Not Eligible</v>
      </c>
      <c r="K17" s="5"/>
      <c r="L17" s="17" t="s">
        <v>177</v>
      </c>
      <c r="M17" s="17" t="s">
        <v>178</v>
      </c>
      <c r="N17" s="5"/>
      <c r="O17" s="5"/>
      <c r="P17" s="5"/>
      <c r="Q17" s="5"/>
      <c r="R17" s="5"/>
      <c r="S17" s="5"/>
      <c r="T17" s="5"/>
      <c r="U17" s="5"/>
      <c r="V17" s="5"/>
      <c r="W17" s="5"/>
      <c r="X17" s="5"/>
      <c r="Y17" s="5"/>
      <c r="Z17" s="5"/>
    </row>
    <row r="18" spans="1:26" ht="14.4">
      <c r="A18" s="20">
        <v>1017</v>
      </c>
      <c r="B18" s="20" t="s">
        <v>93</v>
      </c>
      <c r="C18" s="20">
        <v>66</v>
      </c>
      <c r="D18" s="20">
        <v>59</v>
      </c>
      <c r="E18" s="20">
        <v>40</v>
      </c>
      <c r="F18" s="21">
        <v>45981</v>
      </c>
      <c r="G18" s="23">
        <f t="shared" si="0"/>
        <v>55</v>
      </c>
      <c r="H18" s="22" t="str">
        <f t="shared" si="1"/>
        <v>C</v>
      </c>
      <c r="I18" s="5"/>
      <c r="J18" s="11" t="str">
        <f t="shared" si="2"/>
        <v>Not Eligible</v>
      </c>
      <c r="K18" s="5"/>
      <c r="L18" s="5"/>
      <c r="M18" s="5">
        <f>COUNTIFS(C2:C21,"&gt;60",D2:D21,"&gt;60")</f>
        <v>10</v>
      </c>
      <c r="N18" s="5"/>
      <c r="O18" s="5"/>
      <c r="P18" s="5"/>
      <c r="Q18" s="5"/>
      <c r="R18" s="5"/>
      <c r="S18" s="5"/>
      <c r="T18" s="5"/>
      <c r="U18" s="5"/>
      <c r="V18" s="5"/>
      <c r="W18" s="5"/>
      <c r="X18" s="5"/>
      <c r="Y18" s="5"/>
      <c r="Z18" s="5"/>
    </row>
    <row r="19" spans="1:26" ht="14.4">
      <c r="A19" s="20">
        <v>1018</v>
      </c>
      <c r="B19" s="20" t="s">
        <v>98</v>
      </c>
      <c r="C19" s="20">
        <v>82</v>
      </c>
      <c r="D19" s="20">
        <v>48</v>
      </c>
      <c r="E19" s="20">
        <v>79</v>
      </c>
      <c r="F19" s="21">
        <v>46161</v>
      </c>
      <c r="G19" s="23">
        <f t="shared" si="0"/>
        <v>69.666666666666671</v>
      </c>
      <c r="H19" s="22" t="str">
        <f t="shared" si="1"/>
        <v>B</v>
      </c>
      <c r="I19" s="5"/>
      <c r="J19" s="11" t="str">
        <f t="shared" si="2"/>
        <v>Not Eligible</v>
      </c>
      <c r="K19" s="5"/>
      <c r="L19" s="5"/>
      <c r="M19" s="5"/>
      <c r="N19" s="5"/>
      <c r="O19" s="5"/>
      <c r="P19" s="5"/>
      <c r="Q19" s="5"/>
      <c r="R19" s="5"/>
      <c r="S19" s="5"/>
      <c r="T19" s="5"/>
      <c r="U19" s="5"/>
      <c r="V19" s="5"/>
      <c r="W19" s="5"/>
      <c r="X19" s="5"/>
      <c r="Y19" s="5"/>
      <c r="Z19" s="5"/>
    </row>
    <row r="20" spans="1:26" ht="14.4">
      <c r="A20" s="20">
        <v>1019</v>
      </c>
      <c r="B20" s="20" t="s">
        <v>101</v>
      </c>
      <c r="C20" s="20">
        <v>90</v>
      </c>
      <c r="D20" s="20">
        <v>78</v>
      </c>
      <c r="E20" s="20">
        <v>60</v>
      </c>
      <c r="F20" s="21">
        <v>46341</v>
      </c>
      <c r="G20" s="23">
        <f t="shared" si="0"/>
        <v>76</v>
      </c>
      <c r="H20" s="22" t="str">
        <f t="shared" si="1"/>
        <v>B</v>
      </c>
      <c r="I20" s="5"/>
      <c r="J20" s="11" t="str">
        <f t="shared" si="2"/>
        <v>Not Eligible</v>
      </c>
      <c r="K20" s="5"/>
      <c r="L20" s="5"/>
      <c r="M20" s="5"/>
      <c r="N20" s="5"/>
      <c r="O20" s="5"/>
      <c r="P20" s="5"/>
      <c r="Q20" s="5"/>
      <c r="R20" s="5"/>
      <c r="S20" s="5"/>
      <c r="T20" s="5"/>
      <c r="U20" s="5"/>
      <c r="V20" s="5"/>
      <c r="W20" s="5"/>
      <c r="X20" s="5"/>
      <c r="Y20" s="5"/>
      <c r="Z20" s="5"/>
    </row>
    <row r="21" spans="1:26" ht="15.75" customHeight="1">
      <c r="A21" s="20">
        <v>1020</v>
      </c>
      <c r="B21" s="20" t="s">
        <v>110</v>
      </c>
      <c r="C21" s="20">
        <v>83</v>
      </c>
      <c r="D21" s="20">
        <v>92</v>
      </c>
      <c r="E21" s="20">
        <v>55</v>
      </c>
      <c r="F21" s="21">
        <v>46521</v>
      </c>
      <c r="G21" s="23">
        <f t="shared" si="0"/>
        <v>76.666666666666671</v>
      </c>
      <c r="H21" s="22" t="str">
        <f t="shared" si="1"/>
        <v>B</v>
      </c>
      <c r="I21" s="5"/>
      <c r="J21" s="11" t="str">
        <f t="shared" si="2"/>
        <v>Excellent</v>
      </c>
      <c r="K21" s="5"/>
      <c r="L21" s="17" t="s">
        <v>179</v>
      </c>
      <c r="M21" s="17" t="s">
        <v>130</v>
      </c>
      <c r="N21" s="5"/>
      <c r="O21" s="5"/>
      <c r="P21" s="5"/>
      <c r="Q21" s="5"/>
      <c r="R21" s="5"/>
      <c r="S21" s="5"/>
      <c r="T21" s="5"/>
      <c r="U21" s="5"/>
      <c r="V21" s="5"/>
      <c r="W21" s="5"/>
      <c r="X21" s="5"/>
      <c r="Y21" s="5"/>
      <c r="Z21" s="5"/>
    </row>
    <row r="22" spans="1:26" ht="15.75" customHeight="1">
      <c r="A22" s="5"/>
      <c r="B22" s="5"/>
      <c r="C22" s="5"/>
      <c r="D22" s="5"/>
      <c r="E22" s="5"/>
      <c r="F22" s="5"/>
      <c r="G22" s="5"/>
      <c r="H22" s="5"/>
      <c r="I22" s="5"/>
      <c r="J22" s="5"/>
      <c r="K22" s="5"/>
      <c r="L22" s="5"/>
      <c r="M22" s="5">
        <f>AVERAGEIFS(G2:G21,C2:C21,"&gt;60",D2:D21,"&gt;60")</f>
        <v>77.533333333333331</v>
      </c>
      <c r="N22" s="5"/>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10" t="s">
        <v>137</v>
      </c>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m="1">
        <f t="array" ref="A26:H27">_xlfn._xlws.FILTER(A2:H21,G2:G21&gt;80,"No Students Found")</f>
        <v>1012</v>
      </c>
      <c r="B26" s="5" t="str">
        <v>Student 12</v>
      </c>
      <c r="C26" s="5">
        <v>85</v>
      </c>
      <c r="D26" s="5">
        <v>89</v>
      </c>
      <c r="E26" s="5">
        <v>79</v>
      </c>
      <c r="F26" s="12">
        <v>45081</v>
      </c>
      <c r="G26" s="5">
        <v>84.333333333333329</v>
      </c>
      <c r="H26" s="5" t="str">
        <v>A</v>
      </c>
      <c r="I26" s="5"/>
      <c r="J26" s="5"/>
      <c r="K26" s="5"/>
      <c r="L26" s="5"/>
      <c r="M26" s="5"/>
      <c r="N26" s="5"/>
      <c r="O26" s="5"/>
      <c r="P26" s="5"/>
      <c r="Q26" s="5"/>
      <c r="R26" s="5"/>
      <c r="S26" s="5"/>
      <c r="T26" s="5"/>
      <c r="U26" s="5"/>
      <c r="V26" s="5"/>
      <c r="W26" s="5"/>
      <c r="X26" s="5"/>
      <c r="Y26" s="5"/>
      <c r="Z26" s="5"/>
    </row>
    <row r="27" spans="1:26" ht="15.75" customHeight="1">
      <c r="A27" s="5">
        <v>1013</v>
      </c>
      <c r="B27" s="5" t="str">
        <v>Student 13</v>
      </c>
      <c r="C27" s="5">
        <v>98</v>
      </c>
      <c r="D27" s="5">
        <v>90</v>
      </c>
      <c r="E27" s="5">
        <v>97</v>
      </c>
      <c r="F27" s="12">
        <v>45261</v>
      </c>
      <c r="G27" s="5">
        <v>95</v>
      </c>
      <c r="H27" s="5" t="str">
        <v>A</v>
      </c>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A19" workbookViewId="0">
      <selection activeCell="N30" sqref="N30"/>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10.44140625" bestFit="1" customWidth="1"/>
    <col min="6" max="6" width="18.88671875" customWidth="1"/>
    <col min="7" max="7" width="13.33203125" bestFit="1" customWidth="1"/>
    <col min="8" max="8" width="12" bestFit="1" customWidth="1"/>
    <col min="9" max="9" width="9.77734375" bestFit="1" customWidth="1"/>
    <col min="10" max="10" width="8.6640625" customWidth="1"/>
    <col min="11" max="11" width="15.77734375" bestFit="1" customWidth="1"/>
    <col min="12" max="12" width="12.6640625" bestFit="1" customWidth="1"/>
    <col min="13" max="14" width="12" bestFit="1" customWidth="1"/>
    <col min="15" max="26" width="8.6640625" customWidth="1"/>
  </cols>
  <sheetData>
    <row r="1" spans="1:26" ht="14.4">
      <c r="A1" s="4" t="s">
        <v>9</v>
      </c>
      <c r="B1" s="4" t="s">
        <v>11</v>
      </c>
      <c r="C1" s="4" t="s">
        <v>12</v>
      </c>
      <c r="D1" s="4" t="s">
        <v>14</v>
      </c>
      <c r="E1" s="4" t="s">
        <v>15</v>
      </c>
      <c r="F1" s="4" t="s">
        <v>16</v>
      </c>
      <c r="G1" s="10" t="s">
        <v>12</v>
      </c>
      <c r="H1" s="10" t="s">
        <v>138</v>
      </c>
      <c r="I1" s="5"/>
      <c r="J1" s="5" t="s">
        <v>162</v>
      </c>
      <c r="K1" s="5" t="s">
        <v>173</v>
      </c>
      <c r="L1" s="5" t="s">
        <v>141</v>
      </c>
      <c r="M1" s="5" t="s">
        <v>163</v>
      </c>
      <c r="N1" s="5"/>
      <c r="O1" s="5"/>
      <c r="P1" s="5"/>
      <c r="Q1" s="5"/>
      <c r="R1" s="5"/>
      <c r="S1" s="5"/>
      <c r="T1" s="5"/>
      <c r="U1" s="5"/>
      <c r="V1" s="5"/>
      <c r="W1" s="5"/>
      <c r="X1" s="5"/>
      <c r="Y1" s="5"/>
      <c r="Z1" s="5"/>
    </row>
    <row r="2" spans="1:26" ht="14.4">
      <c r="A2" s="6">
        <v>2001</v>
      </c>
      <c r="B2" s="6" t="s">
        <v>21</v>
      </c>
      <c r="C2" s="6" t="s">
        <v>22</v>
      </c>
      <c r="D2" s="6" t="s">
        <v>23</v>
      </c>
      <c r="E2" s="15">
        <v>7048</v>
      </c>
      <c r="F2" s="16">
        <v>44927</v>
      </c>
      <c r="G2" s="11" t="s">
        <v>42</v>
      </c>
      <c r="H2" s="5">
        <f>SUMIFS(E2:E21,C2:C21,G2)</f>
        <v>173932</v>
      </c>
      <c r="I2" s="5"/>
      <c r="J2" s="5">
        <f>IF(E2&gt;50000,E2*10%,E2*5%)</f>
        <v>352.40000000000003</v>
      </c>
      <c r="K2" s="5" t="str">
        <f>IF(OR(B2="Keyboard",E2&gt;30000),"Eligible","Not Eligible")</f>
        <v>Eligible</v>
      </c>
      <c r="L2" s="5" t="s">
        <v>21</v>
      </c>
      <c r="M2" s="5">
        <f>_xlfn.XMATCH(L2,B2:B21,0)</f>
        <v>1</v>
      </c>
      <c r="N2" s="5"/>
      <c r="O2" s="5"/>
      <c r="P2" s="5"/>
      <c r="Q2" s="5"/>
      <c r="R2" s="5"/>
      <c r="S2" s="5"/>
      <c r="T2" s="5"/>
      <c r="U2" s="5"/>
      <c r="V2" s="5"/>
      <c r="W2" s="5"/>
      <c r="X2" s="5"/>
      <c r="Y2" s="5"/>
      <c r="Z2" s="5"/>
    </row>
    <row r="3" spans="1:26" ht="14.4">
      <c r="A3" s="6">
        <v>2002</v>
      </c>
      <c r="B3" s="6" t="s">
        <v>30</v>
      </c>
      <c r="C3" s="6" t="s">
        <v>32</v>
      </c>
      <c r="D3" s="6" t="s">
        <v>33</v>
      </c>
      <c r="E3" s="15">
        <v>17428</v>
      </c>
      <c r="F3" s="16">
        <v>44942</v>
      </c>
      <c r="G3" s="5"/>
      <c r="H3" s="5"/>
      <c r="I3" s="5"/>
      <c r="J3" s="5">
        <f t="shared" ref="J3:J21" si="0">IF(E3&gt;50000,E3*10%,E3*5%)</f>
        <v>871.40000000000009</v>
      </c>
      <c r="K3" s="5" t="str">
        <f t="shared" ref="K3:K21" si="1">IF(OR(B3="Keyboard",E3&gt;30000),"Eligible","Not Eligible")</f>
        <v>Not Eligible</v>
      </c>
      <c r="L3" s="5"/>
      <c r="M3" s="5"/>
      <c r="N3" s="5"/>
      <c r="O3" s="5"/>
      <c r="P3" s="5"/>
      <c r="Q3" s="5"/>
      <c r="R3" s="5"/>
      <c r="S3" s="5"/>
      <c r="T3" s="5"/>
      <c r="U3" s="5"/>
      <c r="V3" s="5"/>
      <c r="W3" s="5"/>
      <c r="X3" s="5"/>
      <c r="Y3" s="5"/>
      <c r="Z3" s="5"/>
    </row>
    <row r="4" spans="1:26" ht="14.4">
      <c r="A4" s="6">
        <v>2003</v>
      </c>
      <c r="B4" s="6" t="s">
        <v>36</v>
      </c>
      <c r="C4" s="6" t="s">
        <v>22</v>
      </c>
      <c r="D4" s="6" t="s">
        <v>37</v>
      </c>
      <c r="E4" s="15">
        <v>23672</v>
      </c>
      <c r="F4" s="16">
        <v>44957</v>
      </c>
      <c r="G4" s="11" t="s">
        <v>11</v>
      </c>
      <c r="H4" s="11" t="s">
        <v>138</v>
      </c>
      <c r="I4" s="5"/>
      <c r="J4" s="5">
        <f t="shared" si="0"/>
        <v>1183.6000000000001</v>
      </c>
      <c r="K4" s="5" t="str">
        <f t="shared" si="1"/>
        <v>Not Eligible</v>
      </c>
      <c r="L4" s="5"/>
      <c r="M4" s="5"/>
      <c r="N4" s="5"/>
      <c r="O4" s="5"/>
      <c r="P4" s="5"/>
      <c r="Q4" s="5"/>
      <c r="R4" s="5"/>
      <c r="S4" s="5"/>
      <c r="T4" s="5"/>
      <c r="U4" s="5"/>
      <c r="V4" s="5"/>
      <c r="W4" s="5"/>
      <c r="X4" s="5"/>
      <c r="Y4" s="5"/>
      <c r="Z4" s="5"/>
    </row>
    <row r="5" spans="1:26" ht="14.4">
      <c r="A5" s="6">
        <v>2004</v>
      </c>
      <c r="B5" s="6" t="s">
        <v>30</v>
      </c>
      <c r="C5" s="6" t="s">
        <v>42</v>
      </c>
      <c r="D5" s="6" t="s">
        <v>44</v>
      </c>
      <c r="E5" s="15">
        <v>5264</v>
      </c>
      <c r="F5" s="16">
        <v>44972</v>
      </c>
      <c r="G5" s="11" t="s">
        <v>21</v>
      </c>
      <c r="H5" s="11">
        <f>SUMIFS(E2:E21,B2:B21,G5)</f>
        <v>165970</v>
      </c>
      <c r="I5" s="5"/>
      <c r="J5" s="5">
        <f t="shared" si="0"/>
        <v>263.2</v>
      </c>
      <c r="K5" s="5" t="str">
        <f t="shared" si="1"/>
        <v>Not Eligible</v>
      </c>
      <c r="L5" s="5" t="s">
        <v>164</v>
      </c>
      <c r="M5" s="5" t="s">
        <v>138</v>
      </c>
      <c r="N5" s="5"/>
      <c r="O5" s="5"/>
      <c r="P5" s="5"/>
      <c r="Q5" s="5"/>
      <c r="R5" s="5"/>
      <c r="S5" s="5"/>
      <c r="T5" s="5"/>
      <c r="U5" s="5"/>
      <c r="V5" s="5"/>
      <c r="W5" s="5"/>
      <c r="X5" s="5"/>
      <c r="Y5" s="5"/>
      <c r="Z5" s="5"/>
    </row>
    <row r="6" spans="1:26" ht="14.4">
      <c r="A6" s="6">
        <v>2005</v>
      </c>
      <c r="B6" s="6" t="s">
        <v>21</v>
      </c>
      <c r="C6" s="6" t="s">
        <v>50</v>
      </c>
      <c r="D6" s="6" t="s">
        <v>51</v>
      </c>
      <c r="E6" s="15">
        <v>43388</v>
      </c>
      <c r="F6" s="16">
        <v>44987</v>
      </c>
      <c r="G6" s="5"/>
      <c r="H6" s="5"/>
      <c r="I6" s="5"/>
      <c r="J6" s="5">
        <f t="shared" si="0"/>
        <v>2169.4</v>
      </c>
      <c r="K6" s="5" t="str">
        <f t="shared" si="1"/>
        <v>Eligible</v>
      </c>
      <c r="L6" s="5" t="s">
        <v>165</v>
      </c>
      <c r="M6" s="5">
        <f ca="1">SUM(INDIRECT((L6)))</f>
        <v>507725</v>
      </c>
      <c r="N6" s="5"/>
      <c r="O6" s="5"/>
      <c r="P6" s="5"/>
      <c r="Q6" s="5"/>
      <c r="R6" s="5"/>
      <c r="S6" s="5"/>
      <c r="T6" s="5"/>
      <c r="U6" s="5"/>
      <c r="V6" s="5"/>
      <c r="W6" s="5"/>
      <c r="X6" s="5"/>
      <c r="Y6" s="5"/>
      <c r="Z6" s="5"/>
    </row>
    <row r="7" spans="1:26" ht="14.4">
      <c r="A7" s="6">
        <v>2006</v>
      </c>
      <c r="B7" s="6" t="s">
        <v>36</v>
      </c>
      <c r="C7" s="6" t="s">
        <v>50</v>
      </c>
      <c r="D7" s="6" t="s">
        <v>55</v>
      </c>
      <c r="E7" s="15">
        <v>19757</v>
      </c>
      <c r="F7" s="16">
        <v>45002</v>
      </c>
      <c r="G7" s="5"/>
      <c r="H7" s="5"/>
      <c r="I7" s="5"/>
      <c r="J7" s="5">
        <f t="shared" si="0"/>
        <v>987.85</v>
      </c>
      <c r="K7" s="5" t="str">
        <f t="shared" si="1"/>
        <v>Not Eligible</v>
      </c>
      <c r="L7" s="5"/>
      <c r="M7" s="5"/>
      <c r="N7" s="5"/>
      <c r="O7" s="5"/>
      <c r="P7" s="5"/>
      <c r="Q7" s="5"/>
      <c r="R7" s="5"/>
      <c r="S7" s="5"/>
      <c r="T7" s="5"/>
      <c r="U7" s="5"/>
      <c r="V7" s="5"/>
      <c r="W7" s="5"/>
      <c r="X7" s="5"/>
      <c r="Y7" s="5"/>
      <c r="Z7" s="5"/>
    </row>
    <row r="8" spans="1:26" ht="14.4">
      <c r="A8" s="6">
        <v>2007</v>
      </c>
      <c r="B8" s="6" t="s">
        <v>36</v>
      </c>
      <c r="C8" s="6" t="s">
        <v>42</v>
      </c>
      <c r="D8" s="6" t="s">
        <v>62</v>
      </c>
      <c r="E8" s="15">
        <v>32058</v>
      </c>
      <c r="F8" s="16">
        <v>45017</v>
      </c>
      <c r="G8" s="11" t="s">
        <v>11</v>
      </c>
      <c r="H8" s="11" t="s">
        <v>12</v>
      </c>
      <c r="I8" s="11" t="s">
        <v>138</v>
      </c>
      <c r="J8" s="5">
        <f t="shared" si="0"/>
        <v>1602.9</v>
      </c>
      <c r="K8" s="5" t="str">
        <f t="shared" si="1"/>
        <v>Eligible</v>
      </c>
      <c r="L8" s="5"/>
      <c r="M8" s="5"/>
      <c r="N8" s="5"/>
      <c r="O8" s="5"/>
      <c r="P8" s="5"/>
      <c r="Q8" s="5"/>
      <c r="R8" s="5"/>
      <c r="S8" s="5"/>
      <c r="T8" s="5"/>
      <c r="U8" s="5"/>
      <c r="V8" s="5"/>
      <c r="W8" s="5"/>
      <c r="X8" s="5"/>
      <c r="Y8" s="5"/>
      <c r="Z8" s="5"/>
    </row>
    <row r="9" spans="1:26" ht="14.4">
      <c r="A9" s="6">
        <v>2008</v>
      </c>
      <c r="B9" s="6" t="s">
        <v>21</v>
      </c>
      <c r="C9" s="6" t="s">
        <v>42</v>
      </c>
      <c r="D9" s="6" t="s">
        <v>68</v>
      </c>
      <c r="E9" s="15">
        <v>46429</v>
      </c>
      <c r="F9" s="16">
        <v>45032</v>
      </c>
      <c r="G9" s="11" t="s">
        <v>21</v>
      </c>
      <c r="H9" s="11" t="s">
        <v>42</v>
      </c>
      <c r="I9" s="5">
        <f>SUMIFS(E2:E21,B2:B21,G9,C2:C21,H9)</f>
        <v>80349</v>
      </c>
      <c r="J9" s="5">
        <f t="shared" si="0"/>
        <v>2321.4500000000003</v>
      </c>
      <c r="K9" s="5" t="str">
        <f t="shared" si="1"/>
        <v>Eligible</v>
      </c>
      <c r="L9" s="5" t="s">
        <v>166</v>
      </c>
      <c r="M9" s="5" t="s">
        <v>138</v>
      </c>
      <c r="N9" s="5"/>
      <c r="O9" s="5"/>
      <c r="P9" s="5"/>
      <c r="Q9" s="5"/>
      <c r="R9" s="5"/>
      <c r="S9" s="5"/>
      <c r="T9" s="5"/>
      <c r="U9" s="5"/>
      <c r="V9" s="5"/>
      <c r="W9" s="5"/>
      <c r="X9" s="5"/>
      <c r="Y9" s="5"/>
      <c r="Z9" s="5"/>
    </row>
    <row r="10" spans="1:26" ht="14.4">
      <c r="A10" s="6">
        <v>2009</v>
      </c>
      <c r="B10" s="6" t="s">
        <v>30</v>
      </c>
      <c r="C10" s="6" t="s">
        <v>42</v>
      </c>
      <c r="D10" s="6" t="s">
        <v>72</v>
      </c>
      <c r="E10" s="15">
        <v>19746</v>
      </c>
      <c r="F10" s="16">
        <v>45047</v>
      </c>
      <c r="G10" s="5"/>
      <c r="H10" s="5"/>
      <c r="I10" s="5"/>
      <c r="J10" s="5">
        <f t="shared" si="0"/>
        <v>987.30000000000007</v>
      </c>
      <c r="K10" s="5" t="str">
        <f t="shared" si="1"/>
        <v>Not Eligible</v>
      </c>
      <c r="L10" s="5">
        <v>5</v>
      </c>
      <c r="M10" s="5">
        <f ca="1">SUM(OFFSET(E2,0,0,L10,1))</f>
        <v>96800</v>
      </c>
      <c r="N10" s="5"/>
      <c r="O10" s="5"/>
      <c r="P10" s="5"/>
      <c r="Q10" s="5"/>
      <c r="R10" s="5"/>
      <c r="S10" s="5"/>
      <c r="T10" s="5"/>
      <c r="U10" s="5"/>
      <c r="V10" s="5"/>
      <c r="W10" s="5"/>
      <c r="X10" s="5"/>
      <c r="Y10" s="5"/>
      <c r="Z10" s="5"/>
    </row>
    <row r="11" spans="1:26" ht="14.4">
      <c r="A11" s="6">
        <v>2010</v>
      </c>
      <c r="B11" s="6" t="s">
        <v>21</v>
      </c>
      <c r="C11" s="6" t="s">
        <v>22</v>
      </c>
      <c r="D11" s="6" t="s">
        <v>77</v>
      </c>
      <c r="E11" s="15">
        <v>35185</v>
      </c>
      <c r="F11" s="16">
        <v>45062</v>
      </c>
      <c r="G11" s="5"/>
      <c r="H11" s="5"/>
      <c r="I11" s="5"/>
      <c r="J11" s="5">
        <f t="shared" si="0"/>
        <v>1759.25</v>
      </c>
      <c r="K11" s="5" t="str">
        <f t="shared" si="1"/>
        <v>Eligible</v>
      </c>
      <c r="L11" s="5"/>
      <c r="M11" s="5"/>
      <c r="N11" s="5"/>
      <c r="O11" s="5"/>
      <c r="P11" s="5"/>
      <c r="Q11" s="5"/>
      <c r="R11" s="5"/>
      <c r="S11" s="5"/>
      <c r="T11" s="5"/>
      <c r="U11" s="5"/>
      <c r="V11" s="5"/>
      <c r="W11" s="5"/>
      <c r="X11" s="5"/>
      <c r="Y11" s="5"/>
      <c r="Z11" s="5"/>
    </row>
    <row r="12" spans="1:26" ht="14.4">
      <c r="A12" s="6">
        <v>2011</v>
      </c>
      <c r="B12" s="6" t="s">
        <v>21</v>
      </c>
      <c r="C12" s="6" t="s">
        <v>42</v>
      </c>
      <c r="D12" s="6" t="s">
        <v>83</v>
      </c>
      <c r="E12" s="15">
        <v>33920</v>
      </c>
      <c r="F12" s="16">
        <v>45077</v>
      </c>
      <c r="G12" s="11" t="s">
        <v>9</v>
      </c>
      <c r="H12" s="11" t="s">
        <v>139</v>
      </c>
      <c r="I12" s="5"/>
      <c r="J12" s="5">
        <f t="shared" si="0"/>
        <v>1696</v>
      </c>
      <c r="K12" s="5" t="str">
        <f t="shared" si="1"/>
        <v>Eligible</v>
      </c>
      <c r="L12" s="5"/>
      <c r="M12" s="5"/>
      <c r="N12" s="5"/>
      <c r="O12" s="5"/>
      <c r="P12" s="5"/>
      <c r="Q12" s="5"/>
      <c r="R12" s="5"/>
      <c r="S12" s="5"/>
      <c r="T12" s="5"/>
      <c r="U12" s="5"/>
      <c r="V12" s="5"/>
      <c r="W12" s="5"/>
      <c r="X12" s="5"/>
      <c r="Y12" s="5"/>
      <c r="Z12" s="5"/>
    </row>
    <row r="13" spans="1:26" ht="14.4">
      <c r="A13" s="6">
        <v>2012</v>
      </c>
      <c r="B13" s="6" t="s">
        <v>87</v>
      </c>
      <c r="C13" s="6" t="s">
        <v>50</v>
      </c>
      <c r="D13" s="6" t="s">
        <v>89</v>
      </c>
      <c r="E13" s="15">
        <v>35611</v>
      </c>
      <c r="F13" s="16">
        <v>45092</v>
      </c>
      <c r="G13" s="5">
        <v>2005</v>
      </c>
      <c r="H13" s="5">
        <f>INDEX(E2:E21,MATCH(G13,A2:A21,0))</f>
        <v>43388</v>
      </c>
      <c r="I13" s="5"/>
      <c r="J13" s="5">
        <f t="shared" si="0"/>
        <v>1780.5500000000002</v>
      </c>
      <c r="K13" s="5" t="str">
        <f t="shared" si="1"/>
        <v>Eligible</v>
      </c>
      <c r="L13" s="17" t="s">
        <v>14</v>
      </c>
      <c r="M13" s="17" t="s">
        <v>180</v>
      </c>
      <c r="N13" s="17" t="s">
        <v>139</v>
      </c>
      <c r="O13" s="5"/>
      <c r="P13" s="5"/>
      <c r="Q13" s="5"/>
      <c r="R13" s="5"/>
      <c r="S13" s="5"/>
      <c r="T13" s="5"/>
      <c r="U13" s="5"/>
      <c r="V13" s="5"/>
      <c r="W13" s="5"/>
      <c r="X13" s="5"/>
      <c r="Y13" s="5"/>
      <c r="Z13" s="5"/>
    </row>
    <row r="14" spans="1:26" ht="14.4">
      <c r="A14" s="6">
        <v>2013</v>
      </c>
      <c r="B14" s="6" t="s">
        <v>94</v>
      </c>
      <c r="C14" s="6" t="s">
        <v>42</v>
      </c>
      <c r="D14" s="6" t="s">
        <v>95</v>
      </c>
      <c r="E14" s="15">
        <v>15560</v>
      </c>
      <c r="F14" s="16">
        <v>45107</v>
      </c>
      <c r="G14" s="5"/>
      <c r="H14" s="5"/>
      <c r="I14" s="5"/>
      <c r="J14" s="5">
        <f t="shared" si="0"/>
        <v>778</v>
      </c>
      <c r="K14" s="5" t="str">
        <f t="shared" si="1"/>
        <v>Not Eligible</v>
      </c>
      <c r="L14" s="17" t="s">
        <v>51</v>
      </c>
      <c r="M14" s="5">
        <v>2</v>
      </c>
      <c r="N14" s="5" t="str" cm="1">
        <f t="array" ref="N14">IFERROR(INDEX($E$2:$E$21,MATCH(1,INDEX(($D$2:$D$21=L14)*(MONTH($F$2:$F$21)=M14),0),0)),"Not Found")</f>
        <v>Not Found</v>
      </c>
      <c r="O14" s="5"/>
      <c r="P14" s="5"/>
      <c r="Q14" s="5"/>
      <c r="R14" s="5"/>
      <c r="S14" s="5"/>
      <c r="T14" s="5"/>
      <c r="U14" s="5"/>
      <c r="V14" s="5"/>
      <c r="W14" s="5"/>
      <c r="X14" s="5"/>
      <c r="Y14" s="5"/>
      <c r="Z14" s="5"/>
    </row>
    <row r="15" spans="1:26" ht="14.4">
      <c r="A15" s="6">
        <v>2014</v>
      </c>
      <c r="B15" s="6" t="s">
        <v>94</v>
      </c>
      <c r="C15" s="6" t="s">
        <v>22</v>
      </c>
      <c r="D15" s="6" t="s">
        <v>99</v>
      </c>
      <c r="E15" s="15">
        <v>7283</v>
      </c>
      <c r="F15" s="16">
        <v>45122</v>
      </c>
      <c r="G15" s="5"/>
      <c r="H15" s="5"/>
      <c r="I15" s="5"/>
      <c r="J15" s="5">
        <f t="shared" si="0"/>
        <v>364.15000000000003</v>
      </c>
      <c r="K15" s="5" t="str">
        <f t="shared" si="1"/>
        <v>Not Eligible</v>
      </c>
      <c r="L15" s="5"/>
      <c r="M15" s="5"/>
      <c r="N15" s="5"/>
      <c r="O15" s="5"/>
      <c r="P15" s="5"/>
      <c r="Q15" s="5"/>
      <c r="R15" s="5"/>
      <c r="S15" s="5"/>
      <c r="T15" s="5"/>
      <c r="U15" s="5"/>
      <c r="V15" s="5"/>
      <c r="W15" s="5"/>
      <c r="X15" s="5"/>
      <c r="Y15" s="5"/>
      <c r="Z15" s="5"/>
    </row>
    <row r="16" spans="1:26" ht="14.4">
      <c r="A16" s="6">
        <v>2015</v>
      </c>
      <c r="B16" s="6" t="s">
        <v>94</v>
      </c>
      <c r="C16" s="6" t="s">
        <v>42</v>
      </c>
      <c r="D16" s="6" t="s">
        <v>102</v>
      </c>
      <c r="E16" s="15">
        <v>15678</v>
      </c>
      <c r="F16" s="16">
        <v>45137</v>
      </c>
      <c r="G16" s="11" t="s">
        <v>140</v>
      </c>
      <c r="H16" s="11" t="s">
        <v>141</v>
      </c>
      <c r="I16" s="5"/>
      <c r="J16" s="5">
        <f t="shared" si="0"/>
        <v>783.90000000000009</v>
      </c>
      <c r="K16" s="5" t="str">
        <f t="shared" si="1"/>
        <v>Not Eligible</v>
      </c>
      <c r="L16" s="5"/>
      <c r="M16" s="5"/>
      <c r="N16" s="5"/>
      <c r="O16" s="5"/>
      <c r="P16" s="5"/>
      <c r="Q16" s="5"/>
      <c r="R16" s="5"/>
      <c r="S16" s="5"/>
      <c r="T16" s="5"/>
      <c r="U16" s="5"/>
      <c r="V16" s="5"/>
      <c r="W16" s="5"/>
      <c r="X16" s="5"/>
      <c r="Y16" s="5"/>
      <c r="Z16" s="5"/>
    </row>
    <row r="17" spans="1:26" ht="14.4">
      <c r="A17" s="6">
        <v>2016</v>
      </c>
      <c r="B17" s="6" t="s">
        <v>36</v>
      </c>
      <c r="C17" s="6" t="s">
        <v>42</v>
      </c>
      <c r="D17" s="6" t="s">
        <v>107</v>
      </c>
      <c r="E17" s="15">
        <v>5277</v>
      </c>
      <c r="F17" s="16">
        <v>45152</v>
      </c>
      <c r="G17" s="5">
        <v>2008</v>
      </c>
      <c r="H17" s="5" t="str">
        <f>VLOOKUP(G17,A2:B21,2,FALSE)</f>
        <v>Keyboard</v>
      </c>
      <c r="I17" s="5"/>
      <c r="J17" s="5">
        <f t="shared" si="0"/>
        <v>263.85000000000002</v>
      </c>
      <c r="K17" s="5" t="str">
        <f t="shared" si="1"/>
        <v>Not Eligible</v>
      </c>
      <c r="L17" s="17" t="s">
        <v>9</v>
      </c>
      <c r="M17" s="17" t="s">
        <v>139</v>
      </c>
      <c r="N17" s="5"/>
      <c r="O17" s="5"/>
      <c r="P17" s="5"/>
      <c r="Q17" s="5"/>
      <c r="R17" s="5"/>
      <c r="S17" s="5"/>
      <c r="T17" s="5"/>
      <c r="U17" s="5"/>
      <c r="V17" s="5"/>
      <c r="W17" s="5"/>
      <c r="X17" s="5"/>
      <c r="Y17" s="5"/>
      <c r="Z17" s="5"/>
    </row>
    <row r="18" spans="1:26" ht="14.4">
      <c r="A18" s="6">
        <v>2017</v>
      </c>
      <c r="B18" s="6" t="s">
        <v>87</v>
      </c>
      <c r="C18" s="6" t="s">
        <v>50</v>
      </c>
      <c r="D18" s="6" t="s">
        <v>109</v>
      </c>
      <c r="E18" s="15">
        <v>41871</v>
      </c>
      <c r="F18" s="16">
        <v>45167</v>
      </c>
      <c r="G18" s="5"/>
      <c r="H18" s="5"/>
      <c r="I18" s="5"/>
      <c r="J18" s="5">
        <f t="shared" si="0"/>
        <v>2093.5500000000002</v>
      </c>
      <c r="K18" s="5" t="str">
        <f t="shared" si="1"/>
        <v>Eligible</v>
      </c>
      <c r="L18" s="5">
        <v>2005</v>
      </c>
      <c r="M18" s="5">
        <f>VLOOKUP(L18,$A$2:$E$21,5,FALSE)</f>
        <v>43388</v>
      </c>
      <c r="N18" s="5"/>
      <c r="O18" s="5"/>
      <c r="P18" s="5"/>
      <c r="Q18" s="5"/>
      <c r="R18" s="5"/>
      <c r="S18" s="5"/>
      <c r="T18" s="5"/>
      <c r="U18" s="5"/>
      <c r="V18" s="5"/>
      <c r="W18" s="5"/>
      <c r="X18" s="5"/>
      <c r="Y18" s="5"/>
      <c r="Z18" s="5"/>
    </row>
    <row r="19" spans="1:26" ht="14.4">
      <c r="A19" s="6">
        <v>2018</v>
      </c>
      <c r="B19" s="6" t="s">
        <v>87</v>
      </c>
      <c r="C19" s="6" t="s">
        <v>32</v>
      </c>
      <c r="D19" s="6" t="s">
        <v>111</v>
      </c>
      <c r="E19" s="15">
        <v>38161</v>
      </c>
      <c r="F19" s="16">
        <v>45182</v>
      </c>
      <c r="G19" s="5"/>
      <c r="H19" s="5"/>
      <c r="I19" s="5"/>
      <c r="J19" s="5">
        <f t="shared" si="0"/>
        <v>1908.0500000000002</v>
      </c>
      <c r="K19" s="5" t="str">
        <f t="shared" si="1"/>
        <v>Eligible</v>
      </c>
      <c r="L19" s="5"/>
      <c r="M19" s="5"/>
      <c r="N19" s="5"/>
      <c r="O19" s="5"/>
      <c r="P19" s="5"/>
      <c r="Q19" s="5"/>
      <c r="R19" s="5"/>
      <c r="S19" s="5"/>
      <c r="T19" s="5"/>
      <c r="U19" s="5"/>
      <c r="V19" s="5"/>
      <c r="W19" s="5"/>
      <c r="X19" s="5"/>
      <c r="Y19" s="5"/>
      <c r="Z19" s="5"/>
    </row>
    <row r="20" spans="1:26" ht="14.4">
      <c r="A20" s="6">
        <v>2019</v>
      </c>
      <c r="B20" s="6" t="s">
        <v>36</v>
      </c>
      <c r="C20" s="6" t="s">
        <v>32</v>
      </c>
      <c r="D20" s="6" t="s">
        <v>113</v>
      </c>
      <c r="E20" s="15">
        <v>30436</v>
      </c>
      <c r="F20" s="16">
        <v>45197</v>
      </c>
      <c r="G20" s="5" t="s">
        <v>140</v>
      </c>
      <c r="H20" s="5" t="s">
        <v>14</v>
      </c>
      <c r="I20" s="5"/>
      <c r="J20" s="5">
        <f t="shared" si="0"/>
        <v>1521.8000000000002</v>
      </c>
      <c r="K20" s="5" t="str">
        <f t="shared" si="1"/>
        <v>Eligible</v>
      </c>
      <c r="L20" s="5"/>
      <c r="M20" s="5"/>
      <c r="N20" s="5"/>
      <c r="O20" s="5"/>
      <c r="P20" s="5"/>
      <c r="Q20" s="5"/>
      <c r="R20" s="5"/>
      <c r="S20" s="5"/>
      <c r="T20" s="5"/>
      <c r="U20" s="5"/>
      <c r="V20" s="5"/>
      <c r="W20" s="5"/>
      <c r="X20" s="5"/>
      <c r="Y20" s="5"/>
      <c r="Z20" s="5"/>
    </row>
    <row r="21" spans="1:26" ht="15.75" customHeight="1">
      <c r="A21" s="6">
        <v>2020</v>
      </c>
      <c r="B21" s="6" t="s">
        <v>30</v>
      </c>
      <c r="C21" s="6" t="s">
        <v>32</v>
      </c>
      <c r="D21" s="6" t="s">
        <v>115</v>
      </c>
      <c r="E21" s="15">
        <v>33953</v>
      </c>
      <c r="F21" s="16">
        <v>45212</v>
      </c>
      <c r="G21" s="5">
        <v>2010</v>
      </c>
      <c r="H21" s="5" t="str">
        <f>_xlfn.XLOOKUP(G21,A2:A21,D2:D21,"Not Found")</f>
        <v>Person 10</v>
      </c>
      <c r="I21" s="5"/>
      <c r="J21" s="5">
        <f t="shared" si="0"/>
        <v>1697.65</v>
      </c>
      <c r="K21" s="5" t="str">
        <f t="shared" si="1"/>
        <v>Eligible</v>
      </c>
      <c r="L21" s="17" t="s">
        <v>14</v>
      </c>
      <c r="M21" s="17" t="s">
        <v>139</v>
      </c>
      <c r="N21" s="5"/>
      <c r="O21" s="5"/>
      <c r="P21" s="5"/>
      <c r="Q21" s="5"/>
      <c r="R21" s="5"/>
      <c r="S21" s="5"/>
      <c r="T21" s="5"/>
      <c r="U21" s="5"/>
      <c r="V21" s="5"/>
      <c r="W21" s="5"/>
      <c r="X21" s="5"/>
      <c r="Y21" s="5"/>
      <c r="Z21" s="5"/>
    </row>
    <row r="22" spans="1:26" ht="15.75" customHeight="1">
      <c r="A22" s="5"/>
      <c r="B22" s="5"/>
      <c r="C22" s="5"/>
      <c r="D22" s="5"/>
      <c r="E22" s="5"/>
      <c r="F22" s="5"/>
      <c r="G22" s="5"/>
      <c r="H22" s="5"/>
      <c r="I22" s="5"/>
      <c r="J22" s="5"/>
      <c r="K22" s="5"/>
      <c r="L22" s="17" t="s">
        <v>181</v>
      </c>
      <c r="M22" s="5" t="str">
        <f>_xlfn.XLOOKUP(L22,$D$2:$D$21,$E$2:$E$21,"Not Found")</f>
        <v>Not Found</v>
      </c>
      <c r="N22" s="5"/>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17" t="s">
        <v>14</v>
      </c>
      <c r="M25" s="17" t="s">
        <v>138</v>
      </c>
      <c r="N25" s="5"/>
      <c r="O25" s="5"/>
      <c r="P25" s="5"/>
      <c r="Q25" s="5"/>
      <c r="R25" s="5"/>
      <c r="S25" s="5"/>
      <c r="T25" s="5"/>
      <c r="U25" s="5"/>
      <c r="V25" s="5"/>
      <c r="W25" s="5"/>
      <c r="X25" s="5"/>
      <c r="Y25" s="5"/>
      <c r="Z25" s="5"/>
    </row>
    <row r="26" spans="1:26" ht="15.75" customHeight="1">
      <c r="A26" s="5"/>
      <c r="B26" s="5"/>
      <c r="C26" s="5"/>
      <c r="D26" s="5"/>
      <c r="E26" s="5"/>
      <c r="F26" s="5"/>
      <c r="G26" s="5"/>
      <c r="H26" s="5"/>
      <c r="I26" s="5"/>
      <c r="J26" s="5"/>
      <c r="K26" s="5"/>
      <c r="L26" s="17" t="s">
        <v>77</v>
      </c>
      <c r="M26" s="5">
        <f>SUMIF(D2:D21,L26,E2:E21)</f>
        <v>35185</v>
      </c>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17" t="s">
        <v>14</v>
      </c>
      <c r="M29" s="17" t="s">
        <v>12</v>
      </c>
      <c r="N29" s="17" t="s">
        <v>138</v>
      </c>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17" t="s">
        <v>77</v>
      </c>
      <c r="M30" s="17" t="s">
        <v>42</v>
      </c>
      <c r="N30" s="5">
        <f>SUMIFS(E2:E21,D2:D21,L30,C2:C21,M30)</f>
        <v>0</v>
      </c>
      <c r="O30" s="5"/>
      <c r="P30" s="5"/>
      <c r="Q30" s="5"/>
      <c r="R30" s="5"/>
      <c r="S30" s="5"/>
      <c r="T30" s="5"/>
      <c r="U30" s="5"/>
      <c r="V30" s="5"/>
      <c r="W30" s="5"/>
      <c r="X30" s="5"/>
      <c r="Y30" s="5"/>
      <c r="Z30" s="5"/>
    </row>
    <row r="31" spans="1:26"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N6" sqref="N6"/>
    </sheetView>
  </sheetViews>
  <sheetFormatPr defaultColWidth="14.44140625" defaultRowHeight="15" customHeight="1"/>
  <cols>
    <col min="1" max="1" width="12" customWidth="1"/>
    <col min="2" max="2" width="12.109375" customWidth="1"/>
    <col min="3" max="3" width="11.6640625" customWidth="1"/>
    <col min="4" max="4" width="11.88671875" bestFit="1" customWidth="1"/>
    <col min="5" max="5" width="18.88671875" customWidth="1"/>
    <col min="6" max="6" width="8.6640625" customWidth="1"/>
    <col min="7" max="7" width="17.33203125" bestFit="1" customWidth="1"/>
    <col min="8" max="8" width="18.109375" bestFit="1" customWidth="1"/>
    <col min="9" max="9" width="11.44140625" bestFit="1" customWidth="1"/>
    <col min="10" max="10" width="8.6640625" customWidth="1"/>
    <col min="11" max="11" width="12.88671875" bestFit="1" customWidth="1"/>
    <col min="12" max="12" width="8.6640625" customWidth="1"/>
    <col min="13" max="13" width="11.21875" bestFit="1" customWidth="1"/>
    <col min="14" max="14" width="14.44140625" bestFit="1" customWidth="1"/>
    <col min="15" max="25" width="8.6640625" customWidth="1"/>
  </cols>
  <sheetData>
    <row r="1" spans="1:25" ht="14.4">
      <c r="A1" s="4" t="s">
        <v>24</v>
      </c>
      <c r="B1" s="4" t="s">
        <v>3</v>
      </c>
      <c r="C1" s="4" t="s">
        <v>27</v>
      </c>
      <c r="D1" s="4" t="s">
        <v>28</v>
      </c>
      <c r="E1" s="4" t="s">
        <v>29</v>
      </c>
      <c r="F1" s="5"/>
      <c r="G1" s="10" t="s">
        <v>142</v>
      </c>
      <c r="H1" s="10" t="s">
        <v>143</v>
      </c>
      <c r="I1" s="5"/>
      <c r="J1" s="5"/>
      <c r="K1" s="5"/>
      <c r="L1" s="5"/>
      <c r="M1" s="17" t="s">
        <v>24</v>
      </c>
      <c r="N1" s="17" t="s">
        <v>144</v>
      </c>
      <c r="O1" s="5"/>
      <c r="P1" s="5"/>
      <c r="Q1" s="5"/>
      <c r="R1" s="5"/>
      <c r="S1" s="5"/>
      <c r="T1" s="5"/>
      <c r="U1" s="5"/>
      <c r="V1" s="5"/>
      <c r="W1" s="5"/>
      <c r="X1" s="5"/>
      <c r="Y1" s="5"/>
    </row>
    <row r="2" spans="1:25" ht="14.4">
      <c r="A2" s="6">
        <v>3001</v>
      </c>
      <c r="B2" s="6" t="s">
        <v>38</v>
      </c>
      <c r="C2" s="6" t="s">
        <v>39</v>
      </c>
      <c r="D2" s="15">
        <v>86766</v>
      </c>
      <c r="E2" s="8">
        <v>42005</v>
      </c>
      <c r="F2" s="5"/>
      <c r="G2" s="5">
        <v>3005</v>
      </c>
      <c r="H2" s="5" t="str">
        <f>VLOOKUP(G2,$A$2:$B$21,2,FALSE)</f>
        <v>Employee 5</v>
      </c>
      <c r="I2" s="5"/>
      <c r="J2" s="5"/>
      <c r="K2" s="5"/>
      <c r="L2" s="5"/>
      <c r="M2" s="5">
        <v>3005</v>
      </c>
      <c r="N2" s="5">
        <f>_xlfn.XLOOKUP(M2,A2:A21,D2:D21,"Not Found")</f>
        <v>54149</v>
      </c>
      <c r="O2" s="5"/>
      <c r="P2" s="5"/>
      <c r="Q2" s="5"/>
      <c r="R2" s="5"/>
      <c r="S2" s="5"/>
      <c r="T2" s="5"/>
      <c r="U2" s="5"/>
      <c r="V2" s="5"/>
      <c r="W2" s="5"/>
      <c r="X2" s="5"/>
      <c r="Y2" s="5"/>
    </row>
    <row r="3" spans="1:25" ht="14.4">
      <c r="A3" s="6">
        <v>3002</v>
      </c>
      <c r="B3" s="6" t="s">
        <v>43</v>
      </c>
      <c r="C3" s="6" t="s">
        <v>39</v>
      </c>
      <c r="D3" s="15">
        <v>31943</v>
      </c>
      <c r="E3" s="8">
        <v>42255</v>
      </c>
      <c r="F3" s="5"/>
      <c r="G3" s="5"/>
      <c r="H3" s="5"/>
      <c r="I3" s="5"/>
      <c r="J3" s="5"/>
      <c r="K3" s="5"/>
      <c r="L3" s="5"/>
      <c r="M3" s="5"/>
      <c r="N3" s="5"/>
      <c r="O3" s="5"/>
      <c r="P3" s="5"/>
      <c r="Q3" s="5"/>
      <c r="R3" s="5"/>
      <c r="S3" s="5"/>
      <c r="T3" s="5"/>
      <c r="U3" s="5"/>
      <c r="V3" s="5"/>
      <c r="W3" s="5"/>
      <c r="X3" s="5"/>
      <c r="Y3" s="5"/>
    </row>
    <row r="4" spans="1:25" ht="14.4">
      <c r="A4" s="6">
        <v>3003</v>
      </c>
      <c r="B4" s="6" t="s">
        <v>47</v>
      </c>
      <c r="C4" s="6" t="s">
        <v>48</v>
      </c>
      <c r="D4" s="15">
        <v>63374</v>
      </c>
      <c r="E4" s="8">
        <v>42505</v>
      </c>
      <c r="F4" s="5"/>
      <c r="G4" s="5"/>
      <c r="H4" s="5"/>
      <c r="I4" s="5"/>
      <c r="J4" s="5"/>
      <c r="K4" s="5"/>
      <c r="L4" s="5"/>
      <c r="M4" s="5"/>
      <c r="N4" s="5"/>
      <c r="O4" s="5"/>
      <c r="P4" s="5"/>
      <c r="Q4" s="5"/>
      <c r="R4" s="5"/>
      <c r="S4" s="5"/>
      <c r="T4" s="5"/>
      <c r="U4" s="5"/>
      <c r="V4" s="5"/>
      <c r="W4" s="5"/>
      <c r="X4" s="5"/>
      <c r="Y4" s="5"/>
    </row>
    <row r="5" spans="1:25" ht="14.4">
      <c r="A5" s="6">
        <v>3004</v>
      </c>
      <c r="B5" s="6" t="s">
        <v>52</v>
      </c>
      <c r="C5" s="6" t="s">
        <v>39</v>
      </c>
      <c r="D5" s="15">
        <v>109972</v>
      </c>
      <c r="E5" s="8">
        <v>42755</v>
      </c>
      <c r="F5" s="5"/>
      <c r="G5" s="11" t="s">
        <v>142</v>
      </c>
      <c r="H5" s="11" t="s">
        <v>27</v>
      </c>
      <c r="I5" s="5"/>
      <c r="J5" s="5"/>
      <c r="K5" s="5"/>
      <c r="L5" s="5"/>
      <c r="M5" s="17" t="s">
        <v>24</v>
      </c>
      <c r="N5" s="17" t="s">
        <v>27</v>
      </c>
      <c r="O5" s="5"/>
      <c r="P5" s="5"/>
      <c r="Q5" s="5"/>
      <c r="R5" s="5"/>
      <c r="S5" s="5"/>
      <c r="T5" s="5"/>
      <c r="U5" s="5"/>
      <c r="V5" s="5"/>
      <c r="W5" s="5"/>
      <c r="X5" s="5"/>
      <c r="Y5" s="5"/>
    </row>
    <row r="6" spans="1:25" ht="14.4">
      <c r="A6" s="6">
        <v>3005</v>
      </c>
      <c r="B6" s="6" t="s">
        <v>56</v>
      </c>
      <c r="C6" s="6" t="s">
        <v>57</v>
      </c>
      <c r="D6" s="15">
        <v>54149</v>
      </c>
      <c r="E6" s="8">
        <v>43005</v>
      </c>
      <c r="F6" s="5"/>
      <c r="G6" s="5">
        <v>3010</v>
      </c>
      <c r="H6" s="5" t="str">
        <f>_xlfn.XLOOKUP(G6,$A$2:$A$21,$C$2:$C$21,"Not Found")</f>
        <v>HR</v>
      </c>
      <c r="I6" s="5"/>
      <c r="J6" s="5"/>
      <c r="K6" s="5"/>
      <c r="L6" s="5"/>
      <c r="M6" s="5">
        <v>3010</v>
      </c>
      <c r="N6" s="5" t="str">
        <f>INDEX(C2:C21,MATCH(M6,A2:A21,0))</f>
        <v>HR</v>
      </c>
      <c r="O6" s="5"/>
      <c r="P6" s="5"/>
      <c r="Q6" s="5"/>
      <c r="R6" s="5"/>
      <c r="S6" s="5"/>
      <c r="T6" s="5"/>
      <c r="U6" s="5"/>
      <c r="V6" s="5"/>
      <c r="W6" s="5"/>
      <c r="X6" s="5"/>
      <c r="Y6" s="5"/>
    </row>
    <row r="7" spans="1:25" ht="14.4">
      <c r="A7" s="6">
        <v>3006</v>
      </c>
      <c r="B7" s="6" t="s">
        <v>59</v>
      </c>
      <c r="C7" s="6" t="s">
        <v>57</v>
      </c>
      <c r="D7" s="15">
        <v>78689</v>
      </c>
      <c r="E7" s="8">
        <v>43255</v>
      </c>
      <c r="F7" s="5"/>
      <c r="G7" s="5"/>
      <c r="H7" s="5"/>
      <c r="I7" s="5"/>
      <c r="J7" s="5"/>
      <c r="K7" s="5"/>
      <c r="L7" s="5"/>
      <c r="M7" s="5"/>
      <c r="N7" s="5"/>
      <c r="O7" s="5"/>
      <c r="P7" s="5"/>
      <c r="Q7" s="5"/>
      <c r="R7" s="5"/>
      <c r="S7" s="5"/>
      <c r="T7" s="5"/>
      <c r="U7" s="5"/>
      <c r="V7" s="5"/>
      <c r="W7" s="5"/>
      <c r="X7" s="5"/>
      <c r="Y7" s="5"/>
    </row>
    <row r="8" spans="1:25" ht="14.4">
      <c r="A8" s="6">
        <v>3007</v>
      </c>
      <c r="B8" s="6" t="s">
        <v>63</v>
      </c>
      <c r="C8" s="6" t="s">
        <v>64</v>
      </c>
      <c r="D8" s="15">
        <v>35960</v>
      </c>
      <c r="E8" s="8">
        <v>43505</v>
      </c>
      <c r="F8" s="5"/>
      <c r="G8" s="5"/>
      <c r="H8" s="5"/>
      <c r="I8" s="5"/>
      <c r="J8" s="5"/>
      <c r="K8" s="5"/>
      <c r="L8" s="5"/>
      <c r="M8" s="5"/>
      <c r="N8" s="5"/>
      <c r="O8" s="5"/>
      <c r="P8" s="5"/>
      <c r="Q8" s="5"/>
      <c r="R8" s="5"/>
      <c r="S8" s="5"/>
      <c r="T8" s="5"/>
      <c r="U8" s="5"/>
      <c r="V8" s="5"/>
      <c r="W8" s="5"/>
      <c r="X8" s="5"/>
      <c r="Y8" s="5"/>
    </row>
    <row r="9" spans="1:25" ht="14.4">
      <c r="A9" s="6">
        <v>3008</v>
      </c>
      <c r="B9" s="6" t="s">
        <v>67</v>
      </c>
      <c r="C9" s="6" t="s">
        <v>57</v>
      </c>
      <c r="D9" s="15">
        <v>91659</v>
      </c>
      <c r="E9" s="8">
        <v>43755</v>
      </c>
      <c r="F9" s="5"/>
      <c r="G9" s="11" t="s">
        <v>142</v>
      </c>
      <c r="H9" s="11" t="s">
        <v>144</v>
      </c>
      <c r="I9" s="5"/>
      <c r="J9" s="5"/>
      <c r="K9" s="5"/>
      <c r="L9" s="5"/>
      <c r="M9" s="5"/>
      <c r="N9" s="5"/>
      <c r="O9" s="5"/>
      <c r="P9" s="5"/>
      <c r="Q9" s="5"/>
      <c r="R9" s="5"/>
      <c r="S9" s="5"/>
      <c r="T9" s="5"/>
      <c r="U9" s="5"/>
      <c r="V9" s="5"/>
      <c r="W9" s="5"/>
      <c r="X9" s="5"/>
      <c r="Y9" s="5"/>
    </row>
    <row r="10" spans="1:25" ht="14.4">
      <c r="A10" s="6">
        <v>3009</v>
      </c>
      <c r="B10" s="6" t="s">
        <v>70</v>
      </c>
      <c r="C10" s="6" t="s">
        <v>57</v>
      </c>
      <c r="D10" s="15">
        <v>90423</v>
      </c>
      <c r="E10" s="8">
        <v>44005</v>
      </c>
      <c r="F10" s="5"/>
      <c r="G10" s="5">
        <v>3015</v>
      </c>
      <c r="H10" s="5">
        <f>INDEX($D$2:$D$21,MATCH(G10,$A$2:$A$21,0))</f>
        <v>63297</v>
      </c>
      <c r="I10" s="5"/>
      <c r="J10" s="5"/>
      <c r="K10" s="5"/>
      <c r="L10" s="5"/>
      <c r="M10" s="5"/>
      <c r="N10" s="5"/>
      <c r="O10" s="5"/>
      <c r="P10" s="5"/>
      <c r="Q10" s="5"/>
      <c r="R10" s="5"/>
      <c r="S10" s="5"/>
      <c r="T10" s="5"/>
      <c r="U10" s="5"/>
      <c r="V10" s="5"/>
      <c r="W10" s="5"/>
      <c r="X10" s="5"/>
      <c r="Y10" s="5"/>
    </row>
    <row r="11" spans="1:25" ht="14.4">
      <c r="A11" s="6">
        <v>3010</v>
      </c>
      <c r="B11" s="6" t="s">
        <v>73</v>
      </c>
      <c r="C11" s="6" t="s">
        <v>48</v>
      </c>
      <c r="D11" s="15">
        <v>107877</v>
      </c>
      <c r="E11" s="8">
        <v>44255</v>
      </c>
      <c r="F11" s="5"/>
      <c r="G11" s="5"/>
      <c r="H11" s="5"/>
      <c r="I11" s="5"/>
      <c r="J11" s="5"/>
      <c r="K11" s="5"/>
      <c r="L11" s="5"/>
      <c r="M11" s="5"/>
      <c r="N11" s="5"/>
      <c r="O11" s="5"/>
      <c r="P11" s="5"/>
      <c r="Q11" s="5"/>
      <c r="R11" s="5"/>
      <c r="S11" s="5"/>
      <c r="T11" s="5"/>
      <c r="U11" s="5"/>
      <c r="V11" s="5"/>
      <c r="W11" s="5"/>
      <c r="X11" s="5"/>
      <c r="Y11" s="5"/>
    </row>
    <row r="12" spans="1:25" ht="14.4">
      <c r="A12" s="6">
        <v>3011</v>
      </c>
      <c r="B12" s="6" t="s">
        <v>75</v>
      </c>
      <c r="C12" s="6" t="s">
        <v>39</v>
      </c>
      <c r="D12" s="15">
        <v>107634</v>
      </c>
      <c r="E12" s="8">
        <v>44505</v>
      </c>
      <c r="F12" s="5"/>
      <c r="G12" s="5"/>
      <c r="H12" s="5"/>
      <c r="I12" s="5"/>
      <c r="J12" s="5"/>
      <c r="K12" s="5"/>
      <c r="L12" s="5"/>
      <c r="M12" s="5"/>
      <c r="N12" s="5"/>
      <c r="O12" s="5"/>
      <c r="P12" s="5"/>
      <c r="Q12" s="5"/>
      <c r="R12" s="5"/>
      <c r="S12" s="5"/>
      <c r="T12" s="5"/>
      <c r="U12" s="5"/>
      <c r="V12" s="5"/>
      <c r="W12" s="5"/>
      <c r="X12" s="5"/>
      <c r="Y12" s="5"/>
    </row>
    <row r="13" spans="1:25" ht="14.4">
      <c r="A13" s="6">
        <v>3012</v>
      </c>
      <c r="B13" s="6" t="s">
        <v>79</v>
      </c>
      <c r="C13" s="6" t="s">
        <v>39</v>
      </c>
      <c r="D13" s="15">
        <v>35226</v>
      </c>
      <c r="E13" s="8">
        <v>44755</v>
      </c>
      <c r="F13" s="5"/>
      <c r="G13" s="11" t="s">
        <v>142</v>
      </c>
      <c r="H13" s="11" t="s">
        <v>145</v>
      </c>
      <c r="I13" s="5"/>
      <c r="J13" s="5"/>
      <c r="K13" s="5"/>
      <c r="L13" s="5"/>
      <c r="M13" s="5"/>
      <c r="N13" s="5"/>
      <c r="O13" s="5"/>
      <c r="P13" s="5"/>
      <c r="Q13" s="5"/>
      <c r="R13" s="5"/>
      <c r="S13" s="5"/>
      <c r="T13" s="5"/>
      <c r="U13" s="5"/>
      <c r="V13" s="5"/>
      <c r="W13" s="5"/>
      <c r="X13" s="5"/>
      <c r="Y13" s="5"/>
    </row>
    <row r="14" spans="1:25" ht="14.4">
      <c r="A14" s="6">
        <v>3013</v>
      </c>
      <c r="B14" s="6" t="s">
        <v>82</v>
      </c>
      <c r="C14" s="6" t="s">
        <v>48</v>
      </c>
      <c r="D14" s="15">
        <v>40872</v>
      </c>
      <c r="E14" s="8">
        <v>45005</v>
      </c>
      <c r="F14" s="5"/>
      <c r="G14" s="5">
        <v>3012</v>
      </c>
      <c r="H14" s="5">
        <f>_xlfn.XMATCH(G14,$A$2:$A$21,0)</f>
        <v>12</v>
      </c>
      <c r="I14" s="5"/>
      <c r="J14" s="5"/>
      <c r="K14" s="5"/>
      <c r="L14" s="5"/>
      <c r="M14" s="5"/>
      <c r="N14" s="5"/>
      <c r="O14" s="5"/>
      <c r="P14" s="5"/>
      <c r="Q14" s="5"/>
      <c r="R14" s="5"/>
      <c r="S14" s="5"/>
      <c r="T14" s="5"/>
      <c r="U14" s="5"/>
      <c r="V14" s="5"/>
      <c r="W14" s="5"/>
      <c r="X14" s="5"/>
      <c r="Y14" s="5"/>
    </row>
    <row r="15" spans="1:25" ht="14.4">
      <c r="A15" s="6">
        <v>3014</v>
      </c>
      <c r="B15" s="6" t="s">
        <v>84</v>
      </c>
      <c r="C15" s="6" t="s">
        <v>48</v>
      </c>
      <c r="D15" s="15">
        <v>55378</v>
      </c>
      <c r="E15" s="8">
        <v>45255</v>
      </c>
      <c r="F15" s="5"/>
      <c r="G15" s="5"/>
      <c r="H15" s="5"/>
      <c r="I15" s="5"/>
      <c r="J15" s="5"/>
      <c r="K15" s="5"/>
      <c r="L15" s="5"/>
      <c r="M15" s="5"/>
      <c r="N15" s="5"/>
      <c r="O15" s="5"/>
      <c r="P15" s="5"/>
      <c r="Q15" s="5"/>
      <c r="R15" s="5"/>
      <c r="S15" s="5"/>
      <c r="T15" s="5"/>
      <c r="U15" s="5"/>
      <c r="V15" s="5"/>
      <c r="W15" s="5"/>
      <c r="X15" s="5"/>
      <c r="Y15" s="5"/>
    </row>
    <row r="16" spans="1:25" ht="14.4">
      <c r="A16" s="6">
        <v>3015</v>
      </c>
      <c r="B16" s="6" t="s">
        <v>90</v>
      </c>
      <c r="C16" s="6" t="s">
        <v>48</v>
      </c>
      <c r="D16" s="15">
        <v>63297</v>
      </c>
      <c r="E16" s="8">
        <v>45505</v>
      </c>
      <c r="F16" s="5"/>
      <c r="G16" s="5"/>
      <c r="H16" s="5"/>
      <c r="I16" s="5"/>
      <c r="J16" s="5"/>
      <c r="K16" s="5"/>
      <c r="L16" s="5"/>
      <c r="M16" s="5"/>
      <c r="N16" s="5"/>
      <c r="O16" s="5"/>
      <c r="P16" s="5"/>
      <c r="Q16" s="5"/>
      <c r="R16" s="5"/>
      <c r="S16" s="5"/>
      <c r="T16" s="5"/>
      <c r="U16" s="5"/>
      <c r="V16" s="5"/>
      <c r="W16" s="5"/>
      <c r="X16" s="5"/>
      <c r="Y16" s="5"/>
    </row>
    <row r="17" spans="1:25" ht="14.4">
      <c r="A17" s="6">
        <v>3016</v>
      </c>
      <c r="B17" s="6" t="s">
        <v>92</v>
      </c>
      <c r="C17" s="6" t="s">
        <v>39</v>
      </c>
      <c r="D17" s="15">
        <v>114173</v>
      </c>
      <c r="E17" s="8">
        <v>45755</v>
      </c>
      <c r="F17" s="5"/>
      <c r="G17" s="11" t="s">
        <v>143</v>
      </c>
      <c r="H17" s="11" t="s">
        <v>146</v>
      </c>
      <c r="I17" s="5"/>
      <c r="J17" s="5"/>
      <c r="K17" s="5"/>
      <c r="L17" s="5"/>
      <c r="M17" s="5"/>
      <c r="N17" s="5"/>
      <c r="O17" s="5"/>
      <c r="P17" s="5"/>
      <c r="Q17" s="5"/>
      <c r="R17" s="5"/>
      <c r="S17" s="5"/>
      <c r="T17" s="5"/>
      <c r="U17" s="5"/>
      <c r="V17" s="5"/>
      <c r="W17" s="5"/>
      <c r="X17" s="5"/>
      <c r="Y17" s="5"/>
    </row>
    <row r="18" spans="1:25" ht="14.4">
      <c r="A18" s="6">
        <v>3017</v>
      </c>
      <c r="B18" s="6" t="s">
        <v>97</v>
      </c>
      <c r="C18" s="6" t="s">
        <v>48</v>
      </c>
      <c r="D18" s="15">
        <v>86915</v>
      </c>
      <c r="E18" s="8">
        <v>46005</v>
      </c>
      <c r="F18" s="5"/>
      <c r="G18" s="11" t="s">
        <v>73</v>
      </c>
      <c r="H18" s="5" t="str">
        <f>LEFT(G18,FIND(" ",G18)-1)</f>
        <v>Employee</v>
      </c>
      <c r="I18" s="5"/>
      <c r="J18" s="5"/>
      <c r="K18" s="5"/>
      <c r="L18" s="5"/>
      <c r="M18" s="5"/>
      <c r="N18" s="5"/>
      <c r="O18" s="5"/>
      <c r="P18" s="5"/>
      <c r="Q18" s="5"/>
      <c r="R18" s="5"/>
      <c r="S18" s="5"/>
      <c r="T18" s="5"/>
      <c r="U18" s="5"/>
      <c r="V18" s="5"/>
      <c r="W18" s="5"/>
      <c r="X18" s="5"/>
      <c r="Y18" s="5"/>
    </row>
    <row r="19" spans="1:25" ht="14.4">
      <c r="A19" s="6">
        <v>3018</v>
      </c>
      <c r="B19" s="6" t="s">
        <v>100</v>
      </c>
      <c r="C19" s="6" t="s">
        <v>57</v>
      </c>
      <c r="D19" s="15">
        <v>116284</v>
      </c>
      <c r="E19" s="8">
        <v>46255</v>
      </c>
      <c r="F19" s="5"/>
      <c r="G19" s="5"/>
      <c r="H19" s="5"/>
      <c r="I19" s="5"/>
      <c r="J19" s="5"/>
      <c r="K19" s="5"/>
      <c r="L19" s="5"/>
      <c r="M19" s="5"/>
      <c r="N19" s="5"/>
      <c r="O19" s="5"/>
      <c r="P19" s="5"/>
      <c r="Q19" s="5"/>
      <c r="R19" s="5"/>
      <c r="S19" s="5"/>
      <c r="T19" s="5"/>
      <c r="U19" s="5"/>
      <c r="V19" s="5"/>
      <c r="W19" s="5"/>
      <c r="X19" s="5"/>
      <c r="Y19" s="5"/>
    </row>
    <row r="20" spans="1:25" ht="14.4">
      <c r="A20" s="6">
        <v>3019</v>
      </c>
      <c r="B20" s="6" t="s">
        <v>104</v>
      </c>
      <c r="C20" s="6" t="s">
        <v>64</v>
      </c>
      <c r="D20" s="15">
        <v>116283</v>
      </c>
      <c r="E20" s="8">
        <v>46505</v>
      </c>
      <c r="F20" s="5"/>
      <c r="G20" s="5"/>
      <c r="H20" s="5"/>
      <c r="I20" s="5"/>
      <c r="J20" s="5"/>
      <c r="K20" s="5"/>
      <c r="L20" s="5"/>
      <c r="M20" s="5"/>
      <c r="N20" s="5"/>
      <c r="O20" s="5"/>
      <c r="P20" s="5"/>
      <c r="Q20" s="5"/>
      <c r="R20" s="5"/>
      <c r="S20" s="5"/>
      <c r="T20" s="5"/>
      <c r="U20" s="5"/>
      <c r="V20" s="5"/>
      <c r="W20" s="5"/>
      <c r="X20" s="5"/>
      <c r="Y20" s="5"/>
    </row>
    <row r="21" spans="1:25" ht="15.75" customHeight="1">
      <c r="A21" s="6">
        <v>3020</v>
      </c>
      <c r="B21" s="6" t="s">
        <v>106</v>
      </c>
      <c r="C21" s="6" t="s">
        <v>64</v>
      </c>
      <c r="D21" s="15">
        <v>99924</v>
      </c>
      <c r="E21" s="8">
        <v>46755</v>
      </c>
      <c r="F21" s="5"/>
      <c r="G21" s="11" t="s">
        <v>143</v>
      </c>
      <c r="H21" s="11" t="s">
        <v>147</v>
      </c>
      <c r="I21" s="11" t="s">
        <v>148</v>
      </c>
      <c r="J21" s="5"/>
      <c r="K21" s="5"/>
      <c r="L21" s="5"/>
      <c r="M21" s="5"/>
      <c r="N21" s="5"/>
      <c r="O21" s="5"/>
      <c r="P21" s="5"/>
      <c r="Q21" s="5"/>
      <c r="R21" s="5"/>
      <c r="S21" s="5"/>
      <c r="T21" s="5"/>
      <c r="U21" s="5"/>
      <c r="V21" s="5"/>
      <c r="W21" s="5"/>
      <c r="X21" s="5"/>
      <c r="Y21" s="5"/>
    </row>
    <row r="22" spans="1:25" ht="15.75" customHeight="1">
      <c r="A22" s="5"/>
      <c r="B22" s="5"/>
      <c r="C22" s="5"/>
      <c r="D22" s="5"/>
      <c r="E22" s="5"/>
      <c r="F22" s="5"/>
      <c r="G22" s="11" t="s">
        <v>73</v>
      </c>
      <c r="H22" s="5" t="str">
        <f>UPPER(G22)</f>
        <v>EMPLOYEE 10</v>
      </c>
      <c r="I22" s="5" t="str">
        <f>LOWER(G22)</f>
        <v>employee 10</v>
      </c>
      <c r="J22" s="5"/>
      <c r="K22" s="5"/>
      <c r="L22" s="5"/>
      <c r="M22" s="5"/>
      <c r="N22" s="5"/>
      <c r="O22" s="5"/>
      <c r="P22" s="5"/>
      <c r="Q22" s="5"/>
      <c r="R22" s="5"/>
      <c r="S22" s="5"/>
      <c r="T22" s="5"/>
      <c r="U22" s="5"/>
      <c r="V22" s="5"/>
      <c r="W22" s="5"/>
      <c r="X22" s="5"/>
      <c r="Y22" s="5"/>
    </row>
    <row r="23" spans="1:25" ht="15.75" customHeight="1">
      <c r="A23" s="5"/>
      <c r="B23" s="5"/>
      <c r="C23" s="5"/>
      <c r="D23" s="5"/>
      <c r="E23" s="5"/>
      <c r="F23" s="5"/>
      <c r="G23" s="5"/>
      <c r="H23" s="5"/>
      <c r="I23" s="5"/>
      <c r="J23" s="5"/>
      <c r="K23" s="5"/>
      <c r="L23" s="5"/>
      <c r="M23" s="5"/>
      <c r="N23" s="5"/>
      <c r="O23" s="5"/>
      <c r="P23" s="5"/>
      <c r="Q23" s="5"/>
      <c r="R23" s="5"/>
      <c r="S23" s="5"/>
      <c r="T23" s="5"/>
      <c r="U23" s="5"/>
      <c r="V23" s="5"/>
      <c r="W23" s="5"/>
      <c r="X23" s="5"/>
      <c r="Y23" s="5"/>
    </row>
    <row r="24" spans="1:25" ht="15.75" customHeight="1">
      <c r="A24" s="5"/>
      <c r="B24" s="5"/>
      <c r="C24" s="5"/>
      <c r="D24" s="5"/>
      <c r="E24" s="5"/>
      <c r="F24" s="5"/>
      <c r="G24" s="5"/>
      <c r="H24" s="5"/>
      <c r="I24" s="5"/>
      <c r="J24" s="5"/>
      <c r="K24" s="5"/>
      <c r="L24" s="5"/>
      <c r="M24" s="5"/>
      <c r="N24" s="5"/>
      <c r="O24" s="5"/>
      <c r="P24" s="5"/>
      <c r="Q24" s="5"/>
      <c r="R24" s="5"/>
      <c r="S24" s="5"/>
      <c r="T24" s="5"/>
      <c r="U24" s="5"/>
      <c r="V24" s="5"/>
      <c r="W24" s="5"/>
      <c r="X24" s="5"/>
      <c r="Y24" s="5"/>
    </row>
    <row r="25" spans="1:25" ht="15.75" customHeight="1">
      <c r="A25" s="5"/>
      <c r="B25" s="5"/>
      <c r="C25" s="5"/>
      <c r="D25" s="5"/>
      <c r="E25" s="5"/>
      <c r="F25" s="5"/>
      <c r="G25" s="11" t="s">
        <v>27</v>
      </c>
      <c r="H25" s="11" t="s">
        <v>149</v>
      </c>
      <c r="I25" s="5"/>
      <c r="J25" s="5"/>
      <c r="K25" s="5"/>
      <c r="L25" s="5"/>
      <c r="M25" s="5"/>
      <c r="N25" s="5"/>
      <c r="O25" s="5"/>
      <c r="P25" s="5"/>
      <c r="Q25" s="5"/>
      <c r="R25" s="5"/>
      <c r="S25" s="5"/>
      <c r="T25" s="5"/>
      <c r="U25" s="5"/>
      <c r="V25" s="5"/>
      <c r="W25" s="5"/>
      <c r="X25" s="5"/>
      <c r="Y25" s="5"/>
    </row>
    <row r="26" spans="1:25" ht="15.75" customHeight="1">
      <c r="A26" s="5"/>
      <c r="B26" s="5"/>
      <c r="C26" s="5"/>
      <c r="D26" s="5"/>
      <c r="E26" s="5"/>
      <c r="F26" s="5"/>
      <c r="G26" s="11" t="s">
        <v>39</v>
      </c>
      <c r="H26" s="5">
        <f>AVERAGEIF(C2:C21,G26,D2:D21)</f>
        <v>80952.333333333328</v>
      </c>
      <c r="I26" s="5"/>
      <c r="J26" s="5"/>
      <c r="K26" s="5"/>
      <c r="L26" s="5"/>
      <c r="M26" s="5"/>
      <c r="N26" s="5"/>
      <c r="O26" s="5"/>
      <c r="P26" s="5"/>
      <c r="Q26" s="5"/>
      <c r="R26" s="5"/>
      <c r="S26" s="5"/>
      <c r="T26" s="5"/>
      <c r="U26" s="5"/>
      <c r="V26" s="5"/>
      <c r="W26" s="5"/>
      <c r="X26" s="5"/>
      <c r="Y26" s="5"/>
    </row>
    <row r="27" spans="1:25"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spans="1:25" ht="15.75" customHeight="1">
      <c r="A28" s="5"/>
      <c r="B28" s="5"/>
      <c r="C28" s="5"/>
      <c r="D28" s="5"/>
      <c r="E28" s="5"/>
      <c r="F28" s="5"/>
      <c r="G28" s="5"/>
      <c r="H28" s="5"/>
      <c r="I28" s="5"/>
      <c r="J28" s="5"/>
      <c r="K28" s="5"/>
      <c r="L28" s="5"/>
      <c r="M28" s="5"/>
      <c r="N28" s="5"/>
      <c r="O28" s="5"/>
      <c r="P28" s="5"/>
      <c r="Q28" s="5"/>
      <c r="R28" s="5"/>
      <c r="S28" s="5"/>
      <c r="T28" s="5"/>
      <c r="U28" s="5"/>
      <c r="V28" s="5"/>
      <c r="W28" s="5"/>
      <c r="X28" s="5"/>
      <c r="Y28" s="5"/>
    </row>
    <row r="29" spans="1:25" ht="15.75" customHeight="1">
      <c r="A29" s="5"/>
      <c r="B29" s="5"/>
      <c r="C29" s="5"/>
      <c r="D29" s="5"/>
      <c r="E29" s="5"/>
      <c r="F29" s="5"/>
      <c r="G29" s="11" t="s">
        <v>27</v>
      </c>
      <c r="H29" s="11" t="s">
        <v>150</v>
      </c>
      <c r="I29" s="5"/>
      <c r="J29" s="5"/>
      <c r="K29" s="5"/>
      <c r="L29" s="5"/>
      <c r="M29" s="5"/>
      <c r="N29" s="5"/>
      <c r="O29" s="5"/>
      <c r="P29" s="5"/>
      <c r="Q29" s="5"/>
      <c r="R29" s="5"/>
      <c r="S29" s="5"/>
      <c r="T29" s="5"/>
      <c r="U29" s="5"/>
      <c r="V29" s="5"/>
      <c r="W29" s="5"/>
      <c r="X29" s="5"/>
      <c r="Y29" s="5"/>
    </row>
    <row r="30" spans="1:25" ht="15.75" customHeight="1">
      <c r="A30" s="5"/>
      <c r="B30" s="5"/>
      <c r="C30" s="5"/>
      <c r="D30" s="5"/>
      <c r="E30" s="5"/>
      <c r="F30" s="5"/>
      <c r="G30" s="11" t="s">
        <v>39</v>
      </c>
      <c r="H30" s="5">
        <f>COUNTIF(C2:C21,G30)</f>
        <v>6</v>
      </c>
      <c r="I30" s="5"/>
      <c r="J30" s="5"/>
      <c r="K30" s="5"/>
      <c r="L30" s="5"/>
      <c r="M30" s="5"/>
      <c r="N30" s="5"/>
      <c r="O30" s="5"/>
      <c r="P30" s="5"/>
      <c r="Q30" s="5"/>
      <c r="R30" s="5"/>
      <c r="S30" s="5"/>
      <c r="T30" s="5"/>
      <c r="U30" s="5"/>
      <c r="V30" s="5"/>
      <c r="W30" s="5"/>
      <c r="X30" s="5"/>
      <c r="Y30" s="5"/>
    </row>
    <row r="31" spans="1:25"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spans="1:25" ht="15.75" customHeight="1">
      <c r="A32" s="5"/>
      <c r="B32" s="5"/>
      <c r="C32" s="5"/>
      <c r="D32" s="5"/>
      <c r="E32" s="5"/>
      <c r="F32" s="5"/>
      <c r="G32" s="5"/>
      <c r="H32" s="5"/>
      <c r="I32" s="5"/>
      <c r="J32" s="5"/>
      <c r="K32" s="5"/>
      <c r="L32" s="5"/>
      <c r="M32" s="5"/>
      <c r="N32" s="5"/>
      <c r="O32" s="5"/>
      <c r="P32" s="5"/>
      <c r="Q32" s="5"/>
      <c r="R32" s="5"/>
      <c r="S32" s="5"/>
      <c r="T32" s="5"/>
      <c r="U32" s="5"/>
      <c r="V32" s="5"/>
      <c r="W32" s="5"/>
      <c r="X32" s="5"/>
      <c r="Y32" s="5"/>
    </row>
    <row r="33" spans="1:25" ht="15.75" customHeight="1">
      <c r="A33" s="5"/>
      <c r="B33" s="5"/>
      <c r="C33" s="5"/>
      <c r="D33" s="5"/>
      <c r="E33" s="5"/>
      <c r="F33" s="5"/>
      <c r="G33" s="11" t="s">
        <v>151</v>
      </c>
      <c r="H33" s="5">
        <f>MAX(D2:D21)</f>
        <v>116284</v>
      </c>
      <c r="I33" s="5"/>
      <c r="J33" s="5"/>
      <c r="K33" s="5"/>
      <c r="L33" s="5"/>
      <c r="M33" s="5"/>
      <c r="N33" s="5"/>
      <c r="O33" s="5"/>
      <c r="P33" s="5"/>
      <c r="Q33" s="5"/>
      <c r="R33" s="5"/>
      <c r="S33" s="5"/>
      <c r="T33" s="5"/>
      <c r="U33" s="5"/>
      <c r="V33" s="5"/>
      <c r="W33" s="5"/>
      <c r="X33" s="5"/>
      <c r="Y33" s="5"/>
    </row>
    <row r="34" spans="1:25" ht="15.75" customHeight="1">
      <c r="A34" s="5"/>
      <c r="B34" s="5"/>
      <c r="C34" s="5"/>
      <c r="D34" s="5"/>
      <c r="E34" s="5"/>
      <c r="F34" s="5"/>
      <c r="G34" s="5"/>
      <c r="H34" s="5"/>
      <c r="I34" s="5"/>
      <c r="J34" s="5"/>
      <c r="K34" s="5"/>
      <c r="L34" s="5"/>
      <c r="M34" s="5"/>
      <c r="N34" s="5"/>
      <c r="O34" s="5"/>
      <c r="P34" s="5"/>
      <c r="Q34" s="5"/>
      <c r="R34" s="5"/>
      <c r="S34" s="5"/>
      <c r="T34" s="5"/>
      <c r="U34" s="5"/>
      <c r="V34" s="5"/>
      <c r="W34" s="5"/>
      <c r="X34" s="5"/>
      <c r="Y34" s="5"/>
    </row>
    <row r="35" spans="1:25" ht="15.75" customHeight="1">
      <c r="A35" s="5"/>
      <c r="B35" s="5"/>
      <c r="C35" s="5"/>
      <c r="D35" s="5"/>
      <c r="E35" s="5"/>
      <c r="F35" s="5"/>
      <c r="G35" s="5"/>
      <c r="H35" s="5"/>
      <c r="I35" s="5"/>
      <c r="J35" s="5"/>
      <c r="K35" s="5"/>
      <c r="L35" s="5"/>
      <c r="M35" s="5"/>
      <c r="N35" s="5"/>
      <c r="O35" s="5"/>
      <c r="P35" s="5"/>
      <c r="Q35" s="5"/>
      <c r="R35" s="5"/>
      <c r="S35" s="5"/>
      <c r="T35" s="5"/>
      <c r="U35" s="5"/>
      <c r="V35" s="5"/>
      <c r="W35" s="5"/>
      <c r="X35" s="5"/>
      <c r="Y35" s="5"/>
    </row>
    <row r="36" spans="1:25" ht="15.75" customHeight="1">
      <c r="A36" s="5"/>
      <c r="B36" s="5"/>
      <c r="C36" s="5"/>
      <c r="D36" s="5"/>
      <c r="E36" s="5"/>
      <c r="F36" s="5"/>
      <c r="G36" s="5"/>
      <c r="H36" s="5"/>
      <c r="I36" s="5"/>
      <c r="J36" s="5"/>
      <c r="K36" s="5"/>
      <c r="L36" s="5"/>
      <c r="M36" s="5"/>
      <c r="N36" s="5"/>
      <c r="O36" s="5"/>
      <c r="P36" s="5"/>
      <c r="Q36" s="5"/>
      <c r="R36" s="5"/>
      <c r="S36" s="5"/>
      <c r="T36" s="5"/>
      <c r="U36" s="5"/>
      <c r="V36" s="5"/>
      <c r="W36" s="5"/>
      <c r="X36" s="5"/>
      <c r="Y36" s="5"/>
    </row>
    <row r="37" spans="1:25" ht="15.75" customHeight="1">
      <c r="A37" s="5"/>
      <c r="B37" s="5"/>
      <c r="C37" s="5"/>
      <c r="D37" s="5"/>
      <c r="E37" s="5"/>
      <c r="F37" s="5"/>
      <c r="G37" s="11" t="s">
        <v>152</v>
      </c>
      <c r="H37" s="5">
        <f>MIN(D2:D21)</f>
        <v>31943</v>
      </c>
      <c r="I37" s="5"/>
      <c r="J37" s="5"/>
      <c r="K37" s="5"/>
      <c r="L37" s="5"/>
      <c r="M37" s="5"/>
      <c r="N37" s="5"/>
      <c r="O37" s="5"/>
      <c r="P37" s="5"/>
      <c r="Q37" s="5"/>
      <c r="R37" s="5"/>
      <c r="S37" s="5"/>
      <c r="T37" s="5"/>
      <c r="U37" s="5"/>
      <c r="V37" s="5"/>
      <c r="W37" s="5"/>
      <c r="X37" s="5"/>
      <c r="Y37" s="5"/>
    </row>
    <row r="38" spans="1:25" ht="15.75" customHeight="1">
      <c r="A38" s="5"/>
      <c r="B38" s="5"/>
      <c r="C38" s="5"/>
      <c r="D38" s="5"/>
      <c r="E38" s="5"/>
      <c r="F38" s="5"/>
      <c r="G38" s="5"/>
      <c r="H38" s="5"/>
      <c r="I38" s="5"/>
      <c r="J38" s="5"/>
      <c r="K38" s="5"/>
      <c r="L38" s="5"/>
      <c r="M38" s="5"/>
      <c r="N38" s="5"/>
      <c r="O38" s="5"/>
      <c r="P38" s="5"/>
      <c r="Q38" s="5"/>
      <c r="R38" s="5"/>
      <c r="S38" s="5"/>
      <c r="T38" s="5"/>
      <c r="U38" s="5"/>
      <c r="V38" s="5"/>
      <c r="W38" s="5"/>
      <c r="X38" s="5"/>
      <c r="Y38" s="5"/>
    </row>
    <row r="39" spans="1:25" ht="15.75" customHeight="1">
      <c r="A39" s="5"/>
      <c r="B39" s="5"/>
      <c r="C39" s="5"/>
      <c r="D39" s="5"/>
      <c r="E39" s="5"/>
      <c r="F39" s="5"/>
      <c r="G39" s="5"/>
      <c r="H39" s="5"/>
      <c r="I39" s="5"/>
      <c r="J39" s="5"/>
      <c r="K39" s="5"/>
      <c r="L39" s="5"/>
      <c r="M39" s="5"/>
      <c r="N39" s="5"/>
      <c r="O39" s="5"/>
      <c r="P39" s="5"/>
      <c r="Q39" s="5"/>
      <c r="R39" s="5"/>
      <c r="S39" s="5"/>
      <c r="T39" s="5"/>
      <c r="U39" s="5"/>
      <c r="V39" s="5"/>
      <c r="W39" s="5"/>
      <c r="X39" s="5"/>
      <c r="Y39" s="5"/>
    </row>
    <row r="40" spans="1:25" ht="15.75" customHeight="1">
      <c r="A40" s="5"/>
      <c r="B40" s="5"/>
      <c r="C40" s="5"/>
      <c r="D40" s="5"/>
      <c r="E40" s="5"/>
      <c r="F40" s="5"/>
      <c r="G40" s="5"/>
      <c r="H40" s="5"/>
      <c r="I40" s="5"/>
      <c r="J40" s="5"/>
      <c r="K40" s="5"/>
      <c r="L40" s="5"/>
      <c r="M40" s="5"/>
      <c r="N40" s="5"/>
      <c r="O40" s="5"/>
      <c r="P40" s="5"/>
      <c r="Q40" s="5"/>
      <c r="R40" s="5"/>
      <c r="S40" s="5"/>
      <c r="T40" s="5"/>
      <c r="U40" s="5"/>
      <c r="V40" s="5"/>
      <c r="W40" s="5"/>
      <c r="X40" s="5"/>
      <c r="Y40" s="5"/>
    </row>
    <row r="41" spans="1:25" ht="15.75" customHeight="1">
      <c r="A41" s="5"/>
      <c r="B41" s="5"/>
      <c r="C41" s="5"/>
      <c r="D41" s="5"/>
      <c r="E41" s="5"/>
      <c r="F41" s="5"/>
      <c r="G41" s="11" t="s">
        <v>153</v>
      </c>
      <c r="H41" s="5">
        <f>SUM(D2:D21)</f>
        <v>1586798</v>
      </c>
      <c r="I41" s="5"/>
      <c r="J41" s="5"/>
      <c r="K41" s="5"/>
      <c r="L41" s="5"/>
      <c r="M41" s="5"/>
      <c r="N41" s="5"/>
      <c r="O41" s="5"/>
      <c r="P41" s="5"/>
      <c r="Q41" s="5"/>
      <c r="R41" s="5"/>
      <c r="S41" s="5"/>
      <c r="T41" s="5"/>
      <c r="U41" s="5"/>
      <c r="V41" s="5"/>
      <c r="W41" s="5"/>
      <c r="X41" s="5"/>
      <c r="Y41" s="5"/>
    </row>
    <row r="42" spans="1:25" ht="15.75" customHeight="1">
      <c r="A42" s="5"/>
      <c r="B42" s="5"/>
      <c r="C42" s="5"/>
      <c r="D42" s="5"/>
      <c r="E42" s="5"/>
      <c r="F42" s="5"/>
      <c r="G42" s="5"/>
      <c r="H42" s="5"/>
      <c r="I42" s="5"/>
      <c r="J42" s="5"/>
      <c r="K42" s="5"/>
      <c r="L42" s="5"/>
      <c r="M42" s="5"/>
      <c r="N42" s="5"/>
      <c r="O42" s="5"/>
      <c r="P42" s="5"/>
      <c r="Q42" s="5"/>
      <c r="R42" s="5"/>
      <c r="S42" s="5"/>
      <c r="T42" s="5"/>
      <c r="U42" s="5"/>
      <c r="V42" s="5"/>
      <c r="W42" s="5"/>
      <c r="X42" s="5"/>
      <c r="Y42" s="5"/>
    </row>
    <row r="43" spans="1:25" ht="15.75" customHeight="1">
      <c r="A43" s="5"/>
      <c r="B43" s="5"/>
      <c r="C43" s="5"/>
      <c r="D43" s="5"/>
      <c r="E43" s="5"/>
      <c r="F43" s="5"/>
      <c r="G43" s="5"/>
      <c r="H43" s="5"/>
      <c r="I43" s="5"/>
      <c r="J43" s="5"/>
      <c r="K43" s="5"/>
      <c r="L43" s="5"/>
      <c r="M43" s="5"/>
      <c r="N43" s="5"/>
      <c r="O43" s="5"/>
      <c r="P43" s="5"/>
      <c r="Q43" s="5"/>
      <c r="R43" s="5"/>
      <c r="S43" s="5"/>
      <c r="T43" s="5"/>
      <c r="U43" s="5"/>
      <c r="V43" s="5"/>
      <c r="W43" s="5"/>
      <c r="X43" s="5"/>
      <c r="Y43" s="5"/>
    </row>
    <row r="44" spans="1:25" ht="15.75" customHeight="1">
      <c r="A44" s="5"/>
      <c r="B44" s="5"/>
      <c r="C44" s="5"/>
      <c r="D44" s="5"/>
      <c r="E44" s="5"/>
      <c r="F44" s="5"/>
      <c r="G44" s="5"/>
      <c r="H44" s="5"/>
      <c r="I44" s="5"/>
      <c r="J44" s="5"/>
      <c r="K44" s="5"/>
      <c r="L44" s="5"/>
      <c r="M44" s="5"/>
      <c r="N44" s="5"/>
      <c r="O44" s="5"/>
      <c r="P44" s="5"/>
      <c r="Q44" s="5"/>
      <c r="R44" s="5"/>
      <c r="S44" s="5"/>
      <c r="T44" s="5"/>
      <c r="U44" s="5"/>
      <c r="V44" s="5"/>
      <c r="W44" s="5"/>
      <c r="X44" s="5"/>
      <c r="Y44" s="5"/>
    </row>
    <row r="45" spans="1:25" ht="15.75" customHeight="1">
      <c r="A45" s="5"/>
      <c r="B45" s="5"/>
      <c r="C45" s="5"/>
      <c r="D45" s="5"/>
      <c r="E45" s="5"/>
      <c r="F45" s="5"/>
      <c r="G45" s="11" t="s">
        <v>149</v>
      </c>
      <c r="H45" s="5">
        <f>AVERAGE(D2:D21)</f>
        <v>79339.899999999994</v>
      </c>
      <c r="I45" s="5"/>
      <c r="J45" s="5"/>
      <c r="K45" s="5"/>
      <c r="L45" s="5"/>
      <c r="M45" s="5"/>
      <c r="N45" s="5"/>
      <c r="O45" s="5"/>
      <c r="P45" s="5"/>
      <c r="Q45" s="5"/>
      <c r="R45" s="5"/>
      <c r="S45" s="5"/>
      <c r="T45" s="5"/>
      <c r="U45" s="5"/>
      <c r="V45" s="5"/>
      <c r="W45" s="5"/>
      <c r="X45" s="5"/>
      <c r="Y45" s="5"/>
    </row>
    <row r="46" spans="1:25" ht="15.75" customHeight="1">
      <c r="A46" s="5"/>
      <c r="B46" s="5"/>
      <c r="C46" s="5"/>
      <c r="D46" s="5"/>
      <c r="E46" s="5"/>
      <c r="F46" s="5"/>
      <c r="G46" s="5"/>
      <c r="H46" s="5"/>
      <c r="I46" s="5"/>
      <c r="J46" s="5"/>
      <c r="K46" s="5"/>
      <c r="L46" s="5"/>
      <c r="M46" s="5"/>
      <c r="N46" s="5"/>
      <c r="O46" s="5"/>
      <c r="P46" s="5"/>
      <c r="Q46" s="5"/>
      <c r="R46" s="5"/>
      <c r="S46" s="5"/>
      <c r="T46" s="5"/>
      <c r="U46" s="5"/>
      <c r="V46" s="5"/>
      <c r="W46" s="5"/>
      <c r="X46" s="5"/>
      <c r="Y46" s="5"/>
    </row>
    <row r="47" spans="1:25" ht="15.75" customHeight="1">
      <c r="A47" s="5"/>
      <c r="B47" s="5"/>
      <c r="C47" s="5"/>
      <c r="D47" s="5"/>
      <c r="E47" s="5"/>
      <c r="F47" s="5"/>
      <c r="G47" s="5"/>
      <c r="H47" s="5"/>
      <c r="I47" s="5"/>
      <c r="J47" s="5"/>
      <c r="K47" s="5"/>
      <c r="L47" s="5"/>
      <c r="M47" s="5"/>
      <c r="N47" s="5"/>
      <c r="O47" s="5"/>
      <c r="P47" s="5"/>
      <c r="Q47" s="5"/>
      <c r="R47" s="5"/>
      <c r="S47" s="5"/>
      <c r="T47" s="5"/>
      <c r="U47" s="5"/>
      <c r="V47" s="5"/>
      <c r="W47" s="5"/>
      <c r="X47" s="5"/>
      <c r="Y47" s="5"/>
    </row>
    <row r="48" spans="1:25" ht="15.75" customHeight="1">
      <c r="A48" s="5"/>
      <c r="B48" s="5"/>
      <c r="C48" s="5"/>
      <c r="D48" s="5"/>
      <c r="E48" s="5"/>
      <c r="F48" s="5"/>
      <c r="G48" s="5"/>
      <c r="H48" s="5"/>
      <c r="I48" s="5"/>
      <c r="J48" s="5"/>
      <c r="K48" s="5"/>
      <c r="L48" s="5"/>
      <c r="M48" s="5"/>
      <c r="N48" s="5"/>
      <c r="O48" s="5"/>
      <c r="P48" s="5"/>
      <c r="Q48" s="5"/>
      <c r="R48" s="5"/>
      <c r="S48" s="5"/>
      <c r="T48" s="5"/>
      <c r="U48" s="5"/>
      <c r="V48" s="5"/>
      <c r="W48" s="5"/>
      <c r="X48" s="5"/>
      <c r="Y48" s="5"/>
    </row>
    <row r="49" spans="1:25" ht="15.75" customHeight="1">
      <c r="A49" s="5"/>
      <c r="B49" s="5"/>
      <c r="C49" s="5"/>
      <c r="D49" s="5"/>
      <c r="E49" s="5"/>
      <c r="F49" s="5"/>
      <c r="G49" s="11" t="s">
        <v>154</v>
      </c>
      <c r="H49" s="5">
        <f>COUNTA(B2:B21)</f>
        <v>20</v>
      </c>
      <c r="I49" s="5"/>
      <c r="J49" s="5"/>
      <c r="K49" s="5"/>
      <c r="L49" s="5"/>
      <c r="M49" s="5"/>
      <c r="N49" s="5"/>
      <c r="O49" s="5"/>
      <c r="P49" s="5"/>
      <c r="Q49" s="5"/>
      <c r="R49" s="5"/>
      <c r="S49" s="5"/>
      <c r="T49" s="5"/>
      <c r="U49" s="5"/>
      <c r="V49" s="5"/>
      <c r="W49" s="5"/>
      <c r="X49" s="5"/>
      <c r="Y49" s="5"/>
    </row>
    <row r="50" spans="1:25" ht="15.75" customHeight="1">
      <c r="A50" s="5"/>
      <c r="B50" s="5"/>
      <c r="C50" s="5"/>
      <c r="D50" s="5"/>
      <c r="E50" s="5"/>
      <c r="F50" s="5"/>
      <c r="G50" s="5"/>
      <c r="H50" s="5"/>
      <c r="I50" s="5"/>
      <c r="J50" s="5"/>
      <c r="K50" s="5"/>
      <c r="L50" s="5"/>
      <c r="M50" s="5"/>
      <c r="N50" s="5"/>
      <c r="O50" s="5"/>
      <c r="P50" s="5"/>
      <c r="Q50" s="5"/>
      <c r="R50" s="5"/>
      <c r="S50" s="5"/>
      <c r="T50" s="5"/>
      <c r="U50" s="5"/>
      <c r="V50" s="5"/>
      <c r="W50" s="5"/>
      <c r="X50" s="5"/>
      <c r="Y50" s="5"/>
    </row>
    <row r="51" spans="1:25" ht="15.75" customHeight="1">
      <c r="A51" s="5"/>
      <c r="B51" s="5"/>
      <c r="C51" s="5"/>
      <c r="D51" s="5"/>
      <c r="E51" s="5"/>
      <c r="F51" s="5"/>
      <c r="G51" s="5"/>
      <c r="H51" s="5"/>
      <c r="I51" s="5"/>
      <c r="J51" s="5"/>
      <c r="K51" s="5"/>
      <c r="L51" s="5"/>
      <c r="M51" s="5"/>
      <c r="N51" s="5"/>
      <c r="O51" s="5"/>
      <c r="P51" s="5"/>
      <c r="Q51" s="5"/>
      <c r="R51" s="5"/>
      <c r="S51" s="5"/>
      <c r="T51" s="5"/>
      <c r="U51" s="5"/>
      <c r="V51" s="5"/>
      <c r="W51" s="5"/>
      <c r="X51" s="5"/>
      <c r="Y51" s="5"/>
    </row>
    <row r="52" spans="1:25" ht="15.75" customHeight="1">
      <c r="A52" s="5"/>
      <c r="B52" s="5"/>
      <c r="C52" s="5"/>
      <c r="D52" s="5"/>
      <c r="E52" s="5"/>
      <c r="F52" s="5"/>
      <c r="G52" s="5"/>
      <c r="H52" s="5"/>
      <c r="I52" s="5"/>
      <c r="J52" s="5"/>
      <c r="K52" s="5"/>
      <c r="L52" s="5"/>
      <c r="M52" s="5"/>
      <c r="N52" s="5"/>
      <c r="O52" s="5"/>
      <c r="P52" s="5"/>
      <c r="Q52" s="5"/>
      <c r="R52" s="5"/>
      <c r="S52" s="5"/>
      <c r="T52" s="5"/>
      <c r="U52" s="5"/>
      <c r="V52" s="5"/>
      <c r="W52" s="5"/>
      <c r="X52" s="5"/>
      <c r="Y52" s="5"/>
    </row>
    <row r="53" spans="1:25" ht="15.75" customHeight="1">
      <c r="A53" s="5"/>
      <c r="B53" s="5"/>
      <c r="C53" s="5"/>
      <c r="D53" s="5"/>
      <c r="E53" s="5"/>
      <c r="F53" s="5"/>
      <c r="G53" s="11" t="s">
        <v>27</v>
      </c>
      <c r="H53" s="11" t="s">
        <v>150</v>
      </c>
      <c r="I53" s="5"/>
      <c r="J53" s="5"/>
      <c r="K53" s="5"/>
      <c r="L53" s="5"/>
      <c r="M53" s="5"/>
      <c r="N53" s="5"/>
      <c r="O53" s="5"/>
      <c r="P53" s="5"/>
      <c r="Q53" s="5"/>
      <c r="R53" s="5"/>
      <c r="S53" s="5"/>
      <c r="T53" s="5"/>
      <c r="U53" s="5"/>
      <c r="V53" s="5"/>
      <c r="W53" s="5"/>
      <c r="X53" s="5"/>
      <c r="Y53" s="5"/>
    </row>
    <row r="54" spans="1:25" ht="15.75" customHeight="1">
      <c r="A54" s="5"/>
      <c r="B54" s="5"/>
      <c r="C54" s="5"/>
      <c r="D54" s="5"/>
      <c r="E54" s="5"/>
      <c r="F54" s="5"/>
      <c r="G54" s="11" t="s">
        <v>57</v>
      </c>
      <c r="H54" s="5">
        <f>COUNTIF(C2:C21,G54)</f>
        <v>5</v>
      </c>
      <c r="I54" s="5"/>
      <c r="J54" s="5"/>
      <c r="K54" s="5"/>
      <c r="L54" s="5"/>
      <c r="M54" s="5"/>
      <c r="N54" s="5"/>
      <c r="O54" s="5"/>
      <c r="P54" s="5"/>
      <c r="Q54" s="5"/>
      <c r="R54" s="5"/>
      <c r="S54" s="5"/>
      <c r="T54" s="5"/>
      <c r="U54" s="5"/>
      <c r="V54" s="5"/>
      <c r="W54" s="5"/>
      <c r="X54" s="5"/>
      <c r="Y54" s="5"/>
    </row>
    <row r="55" spans="1:25" ht="15.75" customHeight="1">
      <c r="A55" s="5"/>
      <c r="B55" s="5"/>
      <c r="C55" s="5"/>
      <c r="D55" s="5"/>
      <c r="E55" s="5"/>
      <c r="F55" s="5"/>
      <c r="G55" s="5"/>
      <c r="H55" s="5"/>
      <c r="I55" s="5"/>
      <c r="J55" s="5"/>
      <c r="K55" s="5"/>
      <c r="L55" s="5"/>
      <c r="M55" s="5"/>
      <c r="N55" s="5"/>
      <c r="O55" s="5"/>
      <c r="P55" s="5"/>
      <c r="Q55" s="5"/>
      <c r="R55" s="5"/>
      <c r="S55" s="5"/>
      <c r="T55" s="5"/>
      <c r="U55" s="5"/>
      <c r="V55" s="5"/>
      <c r="W55" s="5"/>
      <c r="X55" s="5"/>
      <c r="Y55" s="5"/>
    </row>
    <row r="56" spans="1:25" ht="15.75" customHeight="1">
      <c r="A56" s="5"/>
      <c r="B56" s="5"/>
      <c r="C56" s="5"/>
      <c r="D56" s="5"/>
      <c r="E56" s="5"/>
      <c r="F56" s="5"/>
      <c r="G56" s="5"/>
      <c r="H56" s="5"/>
      <c r="I56" s="5"/>
      <c r="J56" s="5"/>
      <c r="K56" s="5"/>
      <c r="L56" s="5"/>
      <c r="M56" s="5"/>
      <c r="N56" s="5"/>
      <c r="O56" s="5"/>
      <c r="P56" s="5"/>
      <c r="Q56" s="5"/>
      <c r="R56" s="5"/>
      <c r="S56" s="5"/>
      <c r="T56" s="5"/>
      <c r="U56" s="5"/>
      <c r="V56" s="5"/>
      <c r="W56" s="5"/>
      <c r="X56" s="5"/>
      <c r="Y56" s="5"/>
    </row>
    <row r="57" spans="1:25" ht="15.75" customHeight="1">
      <c r="A57" s="5"/>
      <c r="B57" s="5"/>
      <c r="C57" s="5"/>
      <c r="D57" s="5"/>
      <c r="E57" s="5"/>
      <c r="F57" s="5"/>
      <c r="G57" s="11" t="s">
        <v>155</v>
      </c>
      <c r="H57" s="5">
        <f>COUNTIF(D2:D21,"&gt;80000")</f>
        <v>11</v>
      </c>
      <c r="I57" s="5"/>
      <c r="J57" s="5"/>
      <c r="K57" s="5"/>
      <c r="L57" s="5"/>
      <c r="M57" s="5"/>
      <c r="N57" s="5"/>
      <c r="O57" s="5"/>
      <c r="P57" s="5"/>
      <c r="Q57" s="5"/>
      <c r="R57" s="5"/>
      <c r="S57" s="5"/>
      <c r="T57" s="5"/>
      <c r="U57" s="5"/>
      <c r="V57" s="5"/>
      <c r="W57" s="5"/>
      <c r="X57" s="5"/>
      <c r="Y57" s="5"/>
    </row>
    <row r="58" spans="1:25"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spans="1:25" ht="15.75" customHeight="1">
      <c r="A59" s="5"/>
      <c r="B59" s="5"/>
      <c r="C59" s="5"/>
      <c r="D59" s="5"/>
      <c r="E59" s="5"/>
      <c r="F59" s="5"/>
      <c r="G59" s="5"/>
      <c r="H59" s="5"/>
      <c r="I59" s="5"/>
      <c r="J59" s="5"/>
      <c r="K59" s="5"/>
      <c r="L59" s="5"/>
      <c r="M59" s="5"/>
      <c r="N59" s="5"/>
      <c r="O59" s="5"/>
      <c r="P59" s="5"/>
      <c r="Q59" s="5"/>
      <c r="R59" s="5"/>
      <c r="S59" s="5"/>
      <c r="T59" s="5"/>
      <c r="U59" s="5"/>
      <c r="V59" s="5"/>
      <c r="W59" s="5"/>
      <c r="X59" s="5"/>
      <c r="Y59" s="5"/>
    </row>
    <row r="60" spans="1:25" ht="15.75" customHeight="1">
      <c r="A60" s="5"/>
      <c r="B60" s="5"/>
      <c r="C60" s="5"/>
      <c r="D60" s="5"/>
      <c r="E60" s="5"/>
      <c r="F60" s="5"/>
      <c r="G60" s="5"/>
      <c r="H60" s="5"/>
      <c r="I60" s="5"/>
      <c r="J60" s="5"/>
      <c r="K60" s="5"/>
      <c r="L60" s="5"/>
      <c r="M60" s="5"/>
      <c r="N60" s="5"/>
      <c r="O60" s="5"/>
      <c r="P60" s="5"/>
      <c r="Q60" s="5"/>
      <c r="R60" s="5"/>
      <c r="S60" s="5"/>
      <c r="T60" s="5"/>
      <c r="U60" s="5"/>
      <c r="V60" s="5"/>
      <c r="W60" s="5"/>
      <c r="X60" s="5"/>
      <c r="Y60" s="5"/>
    </row>
    <row r="61" spans="1:25" ht="15.75" customHeight="1">
      <c r="A61" s="5"/>
      <c r="B61" s="5"/>
      <c r="C61" s="5"/>
      <c r="D61" s="5"/>
      <c r="E61" s="5"/>
      <c r="F61" s="5"/>
      <c r="G61" s="11" t="s">
        <v>27</v>
      </c>
      <c r="H61" s="11" t="s">
        <v>150</v>
      </c>
      <c r="I61" s="5"/>
      <c r="J61" s="5"/>
      <c r="K61" s="5"/>
      <c r="L61" s="5"/>
      <c r="M61" s="5"/>
      <c r="N61" s="5"/>
      <c r="O61" s="5"/>
      <c r="P61" s="5"/>
      <c r="Q61" s="5"/>
      <c r="R61" s="5"/>
      <c r="S61" s="5"/>
      <c r="T61" s="5"/>
      <c r="U61" s="5"/>
      <c r="V61" s="5"/>
      <c r="W61" s="5"/>
      <c r="X61" s="5"/>
      <c r="Y61" s="5"/>
    </row>
    <row r="62" spans="1:25" ht="15.75" customHeight="1">
      <c r="A62" s="5"/>
      <c r="B62" s="5"/>
      <c r="C62" s="5"/>
      <c r="D62" s="5"/>
      <c r="E62" s="5"/>
      <c r="F62" s="5"/>
      <c r="G62" s="11" t="s">
        <v>48</v>
      </c>
      <c r="H62" s="5">
        <f>COUNTIF(C2:C21,G62)</f>
        <v>6</v>
      </c>
      <c r="I62" s="5"/>
      <c r="J62" s="5"/>
      <c r="K62" s="5"/>
      <c r="L62" s="5"/>
      <c r="M62" s="5"/>
      <c r="N62" s="5"/>
      <c r="O62" s="5"/>
      <c r="P62" s="5"/>
      <c r="Q62" s="5"/>
      <c r="R62" s="5"/>
      <c r="S62" s="5"/>
      <c r="T62" s="5"/>
      <c r="U62" s="5"/>
      <c r="V62" s="5"/>
      <c r="W62" s="5"/>
      <c r="X62" s="5"/>
      <c r="Y62" s="5"/>
    </row>
    <row r="63" spans="1:25" ht="15.75" customHeight="1">
      <c r="A63" s="5"/>
      <c r="B63" s="5"/>
      <c r="C63" s="5"/>
      <c r="D63" s="5"/>
      <c r="E63" s="5"/>
      <c r="F63" s="5"/>
      <c r="G63" s="5"/>
      <c r="H63" s="5"/>
      <c r="I63" s="5"/>
      <c r="J63" s="5"/>
      <c r="K63" s="5"/>
      <c r="L63" s="5"/>
      <c r="M63" s="5"/>
      <c r="N63" s="5"/>
      <c r="O63" s="5"/>
      <c r="P63" s="5"/>
      <c r="Q63" s="5"/>
      <c r="R63" s="5"/>
      <c r="S63" s="5"/>
      <c r="T63" s="5"/>
      <c r="U63" s="5"/>
      <c r="V63" s="5"/>
      <c r="W63" s="5"/>
      <c r="X63" s="5"/>
      <c r="Y63" s="5"/>
    </row>
    <row r="64" spans="1:25" ht="15.75" customHeight="1">
      <c r="A64" s="5"/>
      <c r="B64" s="5"/>
      <c r="C64" s="5"/>
      <c r="D64" s="5"/>
      <c r="E64" s="5"/>
      <c r="F64" s="5"/>
      <c r="G64" s="5"/>
      <c r="H64" s="5"/>
      <c r="I64" s="5"/>
      <c r="J64" s="5"/>
      <c r="K64" s="5"/>
      <c r="L64" s="5"/>
      <c r="M64" s="5"/>
      <c r="N64" s="5"/>
      <c r="O64" s="5"/>
      <c r="P64" s="5"/>
      <c r="Q64" s="5"/>
      <c r="R64" s="5"/>
      <c r="S64" s="5"/>
      <c r="T64" s="5"/>
      <c r="U64" s="5"/>
      <c r="V64" s="5"/>
      <c r="W64" s="5"/>
      <c r="X64" s="5"/>
      <c r="Y64" s="5"/>
    </row>
    <row r="65" spans="1:25" ht="15.75" customHeight="1">
      <c r="A65" s="5"/>
      <c r="B65" s="5"/>
      <c r="C65" s="5"/>
      <c r="D65" s="5"/>
      <c r="E65" s="5"/>
      <c r="F65" s="5"/>
      <c r="G65" s="11" t="s">
        <v>156</v>
      </c>
      <c r="H65" s="11" t="s">
        <v>150</v>
      </c>
      <c r="I65" s="5"/>
      <c r="J65" s="5"/>
      <c r="K65" s="5"/>
      <c r="L65" s="5"/>
      <c r="M65" s="5"/>
      <c r="N65" s="5"/>
      <c r="O65" s="5"/>
      <c r="P65" s="5"/>
      <c r="Q65" s="5"/>
      <c r="R65" s="5"/>
      <c r="S65" s="5"/>
      <c r="T65" s="5"/>
      <c r="U65" s="5"/>
      <c r="V65" s="5"/>
      <c r="W65" s="5"/>
      <c r="X65" s="5"/>
      <c r="Y65" s="5"/>
    </row>
    <row r="66" spans="1:25" ht="15.75" customHeight="1">
      <c r="A66" s="5"/>
      <c r="B66" s="5"/>
      <c r="C66" s="5"/>
      <c r="D66" s="5"/>
      <c r="E66" s="5"/>
      <c r="F66" s="5"/>
      <c r="G66" s="11" t="s">
        <v>64</v>
      </c>
      <c r="H66" s="5">
        <f>COUNTIF(C2:C21,G66)</f>
        <v>3</v>
      </c>
      <c r="I66" s="5"/>
      <c r="J66" s="5"/>
      <c r="K66" s="5"/>
      <c r="L66" s="5"/>
      <c r="M66" s="5"/>
      <c r="N66" s="5"/>
      <c r="O66" s="5"/>
      <c r="P66" s="5"/>
      <c r="Q66" s="5"/>
      <c r="R66" s="5"/>
      <c r="S66" s="5"/>
      <c r="T66" s="5"/>
      <c r="U66" s="5"/>
      <c r="V66" s="5"/>
      <c r="W66" s="5"/>
      <c r="X66" s="5"/>
      <c r="Y66" s="5"/>
    </row>
    <row r="67" spans="1:25" ht="15.75" customHeight="1">
      <c r="A67" s="5"/>
      <c r="B67" s="5"/>
      <c r="C67" s="5"/>
      <c r="D67" s="5"/>
      <c r="E67" s="5"/>
      <c r="F67" s="5"/>
      <c r="G67" s="5"/>
      <c r="H67" s="5"/>
      <c r="I67" s="5"/>
      <c r="J67" s="5"/>
      <c r="K67" s="5"/>
      <c r="L67" s="5"/>
      <c r="M67" s="5"/>
      <c r="N67" s="5"/>
      <c r="O67" s="5"/>
      <c r="P67" s="5"/>
      <c r="Q67" s="5"/>
      <c r="R67" s="5"/>
      <c r="S67" s="5"/>
      <c r="T67" s="5"/>
      <c r="U67" s="5"/>
      <c r="V67" s="5"/>
      <c r="W67" s="5"/>
      <c r="X67" s="5"/>
      <c r="Y67" s="5"/>
    </row>
    <row r="68" spans="1:25"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spans="1:25" ht="15.75" customHeight="1">
      <c r="A69" s="5"/>
      <c r="B69" s="5"/>
      <c r="C69" s="5"/>
      <c r="D69" s="5"/>
      <c r="E69" s="5"/>
      <c r="F69" s="5"/>
      <c r="G69" s="11" t="s">
        <v>27</v>
      </c>
      <c r="H69" s="11" t="s">
        <v>150</v>
      </c>
      <c r="I69" s="5"/>
      <c r="J69" s="5"/>
      <c r="K69" s="5"/>
      <c r="L69" s="5"/>
      <c r="M69" s="5"/>
      <c r="N69" s="5"/>
      <c r="O69" s="5"/>
      <c r="P69" s="5"/>
      <c r="Q69" s="5"/>
      <c r="R69" s="5"/>
      <c r="S69" s="5"/>
      <c r="T69" s="5"/>
      <c r="U69" s="5"/>
      <c r="V69" s="5"/>
      <c r="W69" s="5"/>
      <c r="X69" s="5"/>
      <c r="Y69" s="5"/>
    </row>
    <row r="70" spans="1:25" ht="15.75" customHeight="1">
      <c r="A70" s="5"/>
      <c r="B70" s="5"/>
      <c r="C70" s="5"/>
      <c r="D70" s="5"/>
      <c r="E70" s="5"/>
      <c r="F70" s="5"/>
      <c r="G70" s="11" t="s">
        <v>39</v>
      </c>
      <c r="H70" s="5">
        <f>COUNTIF(C2:C21,G70)</f>
        <v>6</v>
      </c>
      <c r="I70" s="5"/>
      <c r="J70" s="5"/>
      <c r="K70" s="5"/>
      <c r="L70" s="5"/>
      <c r="M70" s="5"/>
      <c r="N70" s="5"/>
      <c r="O70" s="5"/>
      <c r="P70" s="5"/>
      <c r="Q70" s="5"/>
      <c r="R70" s="5"/>
      <c r="S70" s="5"/>
      <c r="T70" s="5"/>
      <c r="U70" s="5"/>
      <c r="V70" s="5"/>
      <c r="W70" s="5"/>
      <c r="X70" s="5"/>
      <c r="Y70" s="5"/>
    </row>
    <row r="71" spans="1:25" ht="15.75" customHeight="1">
      <c r="A71" s="5"/>
      <c r="B71" s="5"/>
      <c r="C71" s="5"/>
      <c r="D71" s="5"/>
      <c r="E71" s="5"/>
      <c r="F71" s="5"/>
      <c r="G71" s="5"/>
      <c r="H71" s="5"/>
      <c r="I71" s="5"/>
      <c r="J71" s="5"/>
      <c r="K71" s="5"/>
      <c r="L71" s="5"/>
      <c r="M71" s="5"/>
      <c r="N71" s="5"/>
      <c r="O71" s="5"/>
      <c r="P71" s="5"/>
      <c r="Q71" s="5"/>
      <c r="R71" s="5"/>
      <c r="S71" s="5"/>
      <c r="T71" s="5"/>
      <c r="U71" s="5"/>
      <c r="V71" s="5"/>
      <c r="W71" s="5"/>
      <c r="X71" s="5"/>
      <c r="Y71" s="5"/>
    </row>
    <row r="72" spans="1:25" ht="15.75" customHeight="1">
      <c r="A72" s="5"/>
      <c r="B72" s="5"/>
      <c r="C72" s="5"/>
      <c r="D72" s="5"/>
      <c r="E72" s="5"/>
      <c r="F72" s="5"/>
      <c r="G72" s="5"/>
      <c r="H72" s="5"/>
      <c r="I72" s="5"/>
      <c r="J72" s="5"/>
      <c r="K72" s="5"/>
      <c r="L72" s="5"/>
      <c r="M72" s="5"/>
      <c r="N72" s="5"/>
      <c r="O72" s="5"/>
      <c r="P72" s="5"/>
      <c r="Q72" s="5"/>
      <c r="R72" s="5"/>
      <c r="S72" s="5"/>
      <c r="T72" s="5"/>
      <c r="U72" s="5"/>
      <c r="V72" s="5"/>
      <c r="W72" s="5"/>
      <c r="X72" s="5"/>
      <c r="Y72" s="5"/>
    </row>
    <row r="73" spans="1:25" ht="15.75" customHeight="1">
      <c r="A73" s="5"/>
      <c r="B73" s="5"/>
      <c r="C73" s="5"/>
      <c r="D73" s="5"/>
      <c r="E73" s="5"/>
      <c r="F73" s="5"/>
      <c r="G73" s="11" t="s">
        <v>27</v>
      </c>
      <c r="H73" s="11" t="s">
        <v>153</v>
      </c>
      <c r="I73" s="5"/>
      <c r="J73" s="5"/>
      <c r="K73" s="5"/>
      <c r="L73" s="5"/>
      <c r="M73" s="5"/>
      <c r="N73" s="5"/>
      <c r="O73" s="5"/>
      <c r="P73" s="5"/>
      <c r="Q73" s="5"/>
      <c r="R73" s="5"/>
      <c r="S73" s="5"/>
      <c r="T73" s="5"/>
      <c r="U73" s="5"/>
      <c r="V73" s="5"/>
      <c r="W73" s="5"/>
      <c r="X73" s="5"/>
      <c r="Y73" s="5"/>
    </row>
    <row r="74" spans="1:25" ht="15.75" customHeight="1">
      <c r="A74" s="5"/>
      <c r="B74" s="5"/>
      <c r="C74" s="5"/>
      <c r="D74" s="5"/>
      <c r="E74" s="5"/>
      <c r="F74" s="5"/>
      <c r="G74" s="11" t="s">
        <v>57</v>
      </c>
      <c r="H74" s="5">
        <f>SUMIF(C2:C21,G74,D2:D21)</f>
        <v>431204</v>
      </c>
      <c r="I74" s="5"/>
      <c r="J74" s="5"/>
      <c r="K74" s="5"/>
      <c r="L74" s="5"/>
      <c r="M74" s="5"/>
      <c r="N74" s="5"/>
      <c r="O74" s="5"/>
      <c r="P74" s="5"/>
      <c r="Q74" s="5"/>
      <c r="R74" s="5"/>
      <c r="S74" s="5"/>
      <c r="T74" s="5"/>
      <c r="U74" s="5"/>
      <c r="V74" s="5"/>
      <c r="W74" s="5"/>
      <c r="X74" s="5"/>
      <c r="Y74" s="5"/>
    </row>
    <row r="75" spans="1:2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spans="1:25"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spans="1:25" ht="15.75" customHeight="1">
      <c r="A77" s="5"/>
      <c r="B77" s="5"/>
      <c r="C77" s="5"/>
      <c r="D77" s="5"/>
      <c r="E77" s="5"/>
      <c r="F77" s="5"/>
      <c r="G77" s="11" t="s">
        <v>27</v>
      </c>
      <c r="H77" s="11" t="s">
        <v>153</v>
      </c>
      <c r="I77" s="5"/>
      <c r="J77" s="5"/>
      <c r="K77" s="5"/>
      <c r="L77" s="5"/>
      <c r="M77" s="5"/>
      <c r="N77" s="5"/>
      <c r="O77" s="5"/>
      <c r="P77" s="5"/>
      <c r="Q77" s="5"/>
      <c r="R77" s="5"/>
      <c r="S77" s="5"/>
      <c r="T77" s="5"/>
      <c r="U77" s="5"/>
      <c r="V77" s="5"/>
      <c r="W77" s="5"/>
      <c r="X77" s="5"/>
      <c r="Y77" s="5"/>
    </row>
    <row r="78" spans="1:25" ht="15.75" customHeight="1">
      <c r="A78" s="5"/>
      <c r="B78" s="5"/>
      <c r="C78" s="5"/>
      <c r="D78" s="5"/>
      <c r="E78" s="5"/>
      <c r="F78" s="5"/>
      <c r="G78" s="11" t="s">
        <v>39</v>
      </c>
      <c r="H78" s="5">
        <f>SUMIF(C2:C21,G78,D2:D21)</f>
        <v>485714</v>
      </c>
      <c r="I78" s="5"/>
      <c r="J78" s="5"/>
      <c r="K78" s="5"/>
      <c r="L78" s="5"/>
      <c r="M78" s="5"/>
      <c r="N78" s="5"/>
      <c r="O78" s="5"/>
      <c r="P78" s="5"/>
      <c r="Q78" s="5"/>
      <c r="R78" s="5"/>
      <c r="S78" s="5"/>
      <c r="T78" s="5"/>
      <c r="U78" s="5"/>
      <c r="V78" s="5"/>
      <c r="W78" s="5"/>
      <c r="X78" s="5"/>
      <c r="Y78" s="5"/>
    </row>
    <row r="79" spans="1:25"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spans="1:25"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spans="1:25" ht="15.75" customHeight="1">
      <c r="A81" s="5"/>
      <c r="B81" s="5"/>
      <c r="C81" s="5"/>
      <c r="D81" s="5"/>
      <c r="E81" s="5"/>
      <c r="F81" s="5"/>
      <c r="G81" s="11" t="s">
        <v>156</v>
      </c>
      <c r="H81" s="11" t="s">
        <v>153</v>
      </c>
      <c r="I81" s="5"/>
      <c r="J81" s="5"/>
      <c r="K81" s="5"/>
      <c r="L81" s="5"/>
      <c r="M81" s="5"/>
      <c r="N81" s="5"/>
      <c r="O81" s="5"/>
      <c r="P81" s="5"/>
      <c r="Q81" s="5"/>
      <c r="R81" s="5"/>
      <c r="S81" s="5"/>
      <c r="T81" s="5"/>
      <c r="U81" s="5"/>
      <c r="V81" s="5"/>
      <c r="W81" s="5"/>
      <c r="X81" s="5"/>
      <c r="Y81" s="5"/>
    </row>
    <row r="82" spans="1:25" ht="15.75" customHeight="1">
      <c r="A82" s="5"/>
      <c r="B82" s="5"/>
      <c r="C82" s="5"/>
      <c r="D82" s="5"/>
      <c r="E82" s="5"/>
      <c r="F82" s="5"/>
      <c r="G82" s="11" t="s">
        <v>48</v>
      </c>
      <c r="H82" s="5">
        <f>SUMIF(C2:C21,G82,D2:D21)</f>
        <v>417713</v>
      </c>
      <c r="I82" s="5"/>
      <c r="J82" s="5"/>
      <c r="K82" s="5"/>
      <c r="L82" s="5"/>
      <c r="M82" s="5"/>
      <c r="N82" s="5"/>
      <c r="O82" s="5"/>
      <c r="P82" s="5"/>
      <c r="Q82" s="5"/>
      <c r="R82" s="5"/>
      <c r="S82" s="5"/>
      <c r="T82" s="5"/>
      <c r="U82" s="5"/>
      <c r="V82" s="5"/>
      <c r="W82" s="5"/>
      <c r="X82" s="5"/>
      <c r="Y82" s="5"/>
    </row>
    <row r="83" spans="1:25"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spans="1:25"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spans="1:25" ht="15.75" customHeight="1">
      <c r="A85" s="5"/>
      <c r="B85" s="5"/>
      <c r="C85" s="5"/>
      <c r="D85" s="5"/>
      <c r="E85" s="5"/>
      <c r="F85" s="5"/>
      <c r="G85" s="11" t="s">
        <v>27</v>
      </c>
      <c r="H85" s="11" t="s">
        <v>153</v>
      </c>
      <c r="I85" s="5"/>
      <c r="J85" s="5"/>
      <c r="K85" s="5"/>
      <c r="L85" s="5"/>
      <c r="M85" s="5"/>
      <c r="N85" s="5"/>
      <c r="O85" s="5"/>
      <c r="P85" s="5"/>
      <c r="Q85" s="5"/>
      <c r="R85" s="5"/>
      <c r="S85" s="5"/>
      <c r="T85" s="5"/>
      <c r="U85" s="5"/>
      <c r="V85" s="5"/>
      <c r="W85" s="5"/>
      <c r="X85" s="5"/>
      <c r="Y85" s="5"/>
    </row>
    <row r="86" spans="1:25" ht="15.75" customHeight="1">
      <c r="A86" s="5"/>
      <c r="B86" s="5"/>
      <c r="C86" s="5"/>
      <c r="D86" s="5"/>
      <c r="E86" s="5"/>
      <c r="F86" s="5"/>
      <c r="G86" s="11" t="s">
        <v>64</v>
      </c>
      <c r="H86" s="5">
        <f>SUMIF(C2:C21,G86,D2:D21)</f>
        <v>252167</v>
      </c>
      <c r="I86" s="5"/>
      <c r="J86" s="5"/>
      <c r="K86" s="5"/>
      <c r="L86" s="5"/>
      <c r="M86" s="5"/>
      <c r="N86" s="5"/>
      <c r="O86" s="5"/>
      <c r="P86" s="5"/>
      <c r="Q86" s="5"/>
      <c r="R86" s="5"/>
      <c r="S86" s="5"/>
      <c r="T86" s="5"/>
      <c r="U86" s="5"/>
      <c r="V86" s="5"/>
      <c r="W86" s="5"/>
      <c r="X86" s="5"/>
      <c r="Y86" s="5"/>
    </row>
    <row r="87" spans="1:25"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spans="1:25"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spans="1:25" ht="15.75" customHeight="1">
      <c r="A89" s="5"/>
      <c r="B89" s="5"/>
      <c r="C89" s="5"/>
      <c r="D89" s="5"/>
      <c r="E89" s="5"/>
      <c r="F89" s="5"/>
      <c r="G89" s="11" t="s">
        <v>156</v>
      </c>
      <c r="H89" s="11" t="s">
        <v>149</v>
      </c>
      <c r="I89" s="5"/>
      <c r="J89" s="5"/>
      <c r="K89" s="5"/>
      <c r="L89" s="5"/>
      <c r="M89" s="5"/>
      <c r="N89" s="5"/>
      <c r="O89" s="5"/>
      <c r="P89" s="5"/>
      <c r="Q89" s="5"/>
      <c r="R89" s="5"/>
      <c r="S89" s="5"/>
      <c r="T89" s="5"/>
      <c r="U89" s="5"/>
      <c r="V89" s="5"/>
      <c r="W89" s="5"/>
      <c r="X89" s="5"/>
      <c r="Y89" s="5"/>
    </row>
    <row r="90" spans="1:25" ht="15.75" customHeight="1">
      <c r="A90" s="5"/>
      <c r="B90" s="5"/>
      <c r="C90" s="5"/>
      <c r="D90" s="5"/>
      <c r="E90" s="5"/>
      <c r="F90" s="5"/>
      <c r="G90" s="11" t="s">
        <v>57</v>
      </c>
      <c r="H90" s="5">
        <f>AVERAGEIF(C2:C21,G90,D2:D21)</f>
        <v>86240.8</v>
      </c>
      <c r="I90" s="5"/>
      <c r="J90" s="5"/>
      <c r="K90" s="5"/>
      <c r="L90" s="5"/>
      <c r="M90" s="5"/>
      <c r="N90" s="5"/>
      <c r="O90" s="5"/>
      <c r="P90" s="5"/>
      <c r="Q90" s="5"/>
      <c r="R90" s="5"/>
      <c r="S90" s="5"/>
      <c r="T90" s="5"/>
      <c r="U90" s="5"/>
      <c r="V90" s="5"/>
      <c r="W90" s="5"/>
      <c r="X90" s="5"/>
      <c r="Y90" s="5"/>
    </row>
    <row r="91" spans="1:25"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spans="1:25"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spans="1:25" ht="15.75" customHeight="1">
      <c r="A93" s="5"/>
      <c r="B93" s="5"/>
      <c r="C93" s="5"/>
      <c r="D93" s="5"/>
      <c r="E93" s="5"/>
      <c r="F93" s="5"/>
      <c r="G93" s="11" t="s">
        <v>157</v>
      </c>
      <c r="H93" s="11" t="s">
        <v>149</v>
      </c>
      <c r="I93" s="5"/>
      <c r="J93" s="5"/>
      <c r="K93" s="5"/>
      <c r="L93" s="5"/>
      <c r="M93" s="5"/>
      <c r="N93" s="5"/>
      <c r="O93" s="5"/>
      <c r="P93" s="5"/>
      <c r="Q93" s="5"/>
      <c r="R93" s="5"/>
      <c r="S93" s="5"/>
      <c r="T93" s="5"/>
      <c r="U93" s="5"/>
      <c r="V93" s="5"/>
      <c r="W93" s="5"/>
      <c r="X93" s="5"/>
      <c r="Y93" s="5"/>
    </row>
    <row r="94" spans="1:25" ht="15.75" customHeight="1">
      <c r="A94" s="5"/>
      <c r="B94" s="5"/>
      <c r="C94" s="5"/>
      <c r="D94" s="5"/>
      <c r="E94" s="5"/>
      <c r="F94" s="5"/>
      <c r="G94" s="11" t="s">
        <v>48</v>
      </c>
      <c r="H94" s="5">
        <f>AVERAGEIF(C2:C21,G94,D2:D21)</f>
        <v>69618.833333333328</v>
      </c>
      <c r="I94" s="5"/>
      <c r="J94" s="5"/>
      <c r="K94" s="5"/>
      <c r="L94" s="5"/>
      <c r="M94" s="5"/>
      <c r="N94" s="5"/>
      <c r="O94" s="5"/>
      <c r="P94" s="5"/>
      <c r="Q94" s="5"/>
      <c r="R94" s="5"/>
      <c r="S94" s="5"/>
      <c r="T94" s="5"/>
      <c r="U94" s="5"/>
      <c r="V94" s="5"/>
      <c r="W94" s="5"/>
      <c r="X94" s="5"/>
      <c r="Y94" s="5"/>
    </row>
    <row r="95" spans="1:2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spans="1:25"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spans="1:25" ht="15.75" customHeight="1">
      <c r="A97" s="5"/>
      <c r="B97" s="5"/>
      <c r="C97" s="5"/>
      <c r="D97" s="5"/>
      <c r="E97" s="5"/>
      <c r="F97" s="5"/>
      <c r="G97" s="11" t="s">
        <v>27</v>
      </c>
      <c r="H97" s="11" t="s">
        <v>149</v>
      </c>
      <c r="I97" s="5"/>
      <c r="J97" s="5"/>
      <c r="K97" s="5"/>
      <c r="L97" s="5"/>
      <c r="M97" s="5"/>
      <c r="N97" s="5"/>
      <c r="O97" s="5"/>
      <c r="P97" s="5"/>
      <c r="Q97" s="5"/>
      <c r="R97" s="5"/>
      <c r="S97" s="5"/>
      <c r="T97" s="5"/>
      <c r="U97" s="5"/>
      <c r="V97" s="5"/>
      <c r="W97" s="5"/>
      <c r="X97" s="5"/>
      <c r="Y97" s="5"/>
    </row>
    <row r="98" spans="1:25" ht="15.75" customHeight="1">
      <c r="A98" s="5"/>
      <c r="B98" s="5"/>
      <c r="C98" s="5"/>
      <c r="D98" s="5"/>
      <c r="E98" s="5"/>
      <c r="F98" s="5"/>
      <c r="G98" s="11" t="s">
        <v>39</v>
      </c>
      <c r="H98" s="5">
        <f>AVERAGEIF(C2:C21,G98,D2:D21)</f>
        <v>80952.333333333328</v>
      </c>
      <c r="I98" s="5"/>
      <c r="J98" s="5"/>
      <c r="K98" s="5"/>
      <c r="L98" s="5"/>
      <c r="M98" s="5"/>
      <c r="N98" s="5"/>
      <c r="O98" s="5"/>
      <c r="P98" s="5"/>
      <c r="Q98" s="5"/>
      <c r="R98" s="5"/>
      <c r="S98" s="5"/>
      <c r="T98" s="5"/>
      <c r="U98" s="5"/>
      <c r="V98" s="5"/>
      <c r="W98" s="5"/>
      <c r="X98" s="5"/>
      <c r="Y98" s="5"/>
    </row>
    <row r="99" spans="1:25"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spans="1:25"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5.75" customHeight="1">
      <c r="A101" s="5"/>
      <c r="B101" s="5"/>
      <c r="C101" s="5"/>
      <c r="D101" s="5"/>
      <c r="E101" s="5"/>
      <c r="F101" s="5"/>
      <c r="G101" s="11" t="s">
        <v>156</v>
      </c>
      <c r="H101" s="11" t="s">
        <v>149</v>
      </c>
      <c r="I101" s="5"/>
      <c r="J101" s="5"/>
      <c r="K101" s="5"/>
      <c r="L101" s="5"/>
      <c r="M101" s="5"/>
      <c r="N101" s="5"/>
      <c r="O101" s="5"/>
      <c r="P101" s="5"/>
      <c r="Q101" s="5"/>
      <c r="R101" s="5"/>
      <c r="S101" s="5"/>
      <c r="T101" s="5"/>
      <c r="U101" s="5"/>
      <c r="V101" s="5"/>
      <c r="W101" s="5"/>
      <c r="X101" s="5"/>
      <c r="Y101" s="5"/>
    </row>
    <row r="102" spans="1:25" ht="15.75" customHeight="1">
      <c r="A102" s="5"/>
      <c r="B102" s="5"/>
      <c r="C102" s="5"/>
      <c r="D102" s="5"/>
      <c r="E102" s="5"/>
      <c r="F102" s="5"/>
      <c r="G102" s="11" t="s">
        <v>64</v>
      </c>
      <c r="H102" s="5">
        <f>AVERAGEIF(C2:C21,G102,D2:D21)</f>
        <v>84055.666666666672</v>
      </c>
      <c r="I102" s="5"/>
      <c r="J102" s="5"/>
      <c r="K102" s="5"/>
      <c r="L102" s="5"/>
      <c r="M102" s="5"/>
      <c r="N102" s="5"/>
      <c r="O102" s="5"/>
      <c r="P102" s="5"/>
      <c r="Q102" s="5"/>
      <c r="R102" s="5"/>
      <c r="S102" s="5"/>
      <c r="T102" s="5"/>
      <c r="U102" s="5"/>
      <c r="V102" s="5"/>
      <c r="W102" s="5"/>
      <c r="X102" s="5"/>
      <c r="Y102" s="5"/>
    </row>
    <row r="103" spans="1:25"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5.75" customHeight="1">
      <c r="A105" s="5"/>
      <c r="B105" s="5"/>
      <c r="C105" s="5"/>
      <c r="D105" s="5"/>
      <c r="E105" s="5"/>
      <c r="F105" s="5"/>
      <c r="G105" s="5" t="s">
        <v>143</v>
      </c>
      <c r="H105" s="5" t="s">
        <v>158</v>
      </c>
      <c r="I105" s="5"/>
      <c r="J105" s="5"/>
      <c r="K105" s="5"/>
      <c r="L105" s="5"/>
      <c r="M105" s="5"/>
      <c r="N105" s="5"/>
      <c r="O105" s="5"/>
      <c r="P105" s="5"/>
      <c r="Q105" s="5"/>
      <c r="R105" s="5"/>
      <c r="S105" s="5"/>
      <c r="T105" s="5"/>
      <c r="U105" s="5"/>
      <c r="V105" s="5"/>
      <c r="W105" s="5"/>
      <c r="X105" s="5"/>
      <c r="Y105" s="5"/>
    </row>
    <row r="106" spans="1:25" ht="15.75" customHeight="1">
      <c r="A106" s="5"/>
      <c r="B106" s="5"/>
      <c r="C106" s="5"/>
      <c r="D106" s="5"/>
      <c r="E106" s="5"/>
      <c r="F106" s="5"/>
      <c r="G106" s="5" t="s">
        <v>38</v>
      </c>
      <c r="H106" s="5">
        <f ca="1">DATEDIF(E2,TODAY(),"Y")</f>
        <v>11</v>
      </c>
      <c r="I106" s="5"/>
      <c r="J106" s="5"/>
      <c r="K106" s="5"/>
      <c r="L106" s="5"/>
      <c r="M106" s="5"/>
      <c r="N106" s="5"/>
      <c r="O106" s="5"/>
      <c r="P106" s="5"/>
      <c r="Q106" s="5"/>
      <c r="R106" s="5"/>
      <c r="S106" s="5"/>
      <c r="T106" s="5"/>
      <c r="U106" s="5"/>
      <c r="V106" s="5"/>
      <c r="W106" s="5"/>
      <c r="X106" s="5"/>
      <c r="Y106" s="5"/>
    </row>
    <row r="107" spans="1:25"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5.75" customHeight="1">
      <c r="A109" s="5"/>
      <c r="B109" s="5"/>
      <c r="C109" s="5"/>
      <c r="D109" s="5"/>
      <c r="E109" s="5"/>
      <c r="F109" s="5"/>
      <c r="G109" s="5" t="s">
        <v>143</v>
      </c>
      <c r="H109" s="5" t="s">
        <v>159</v>
      </c>
      <c r="I109" s="5"/>
      <c r="J109" s="5"/>
      <c r="K109" s="5"/>
      <c r="L109" s="5"/>
      <c r="M109" s="5"/>
      <c r="N109" s="5"/>
      <c r="O109" s="5"/>
      <c r="P109" s="5"/>
      <c r="Q109" s="5"/>
      <c r="R109" s="5"/>
      <c r="S109" s="5"/>
      <c r="T109" s="5"/>
      <c r="U109" s="5"/>
      <c r="V109" s="5"/>
      <c r="W109" s="5"/>
      <c r="X109" s="5"/>
      <c r="Y109" s="5"/>
    </row>
    <row r="110" spans="1:25" ht="15.75" customHeight="1">
      <c r="A110" s="5"/>
      <c r="B110" s="5"/>
      <c r="C110" s="5"/>
      <c r="D110" s="5"/>
      <c r="E110" s="5"/>
      <c r="F110" s="5"/>
      <c r="G110" s="5" t="s">
        <v>38</v>
      </c>
      <c r="H110" s="13">
        <f ca="1">TODAY()-E2</f>
        <v>4312</v>
      </c>
      <c r="I110" s="5"/>
      <c r="J110" s="5"/>
      <c r="K110" s="5"/>
      <c r="L110" s="5"/>
      <c r="M110" s="5"/>
      <c r="N110" s="5"/>
      <c r="O110" s="5"/>
      <c r="P110" s="5"/>
      <c r="Q110" s="5"/>
      <c r="R110" s="5"/>
      <c r="S110" s="5"/>
      <c r="T110" s="5"/>
      <c r="U110" s="5"/>
      <c r="V110" s="5"/>
      <c r="W110" s="5"/>
      <c r="X110" s="5"/>
      <c r="Y110" s="5"/>
    </row>
    <row r="111" spans="1:25"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5.75" customHeight="1">
      <c r="A113" s="5"/>
      <c r="B113" s="5"/>
      <c r="C113" s="5"/>
      <c r="D113" s="5"/>
      <c r="E113" s="5"/>
      <c r="F113" s="5"/>
      <c r="G113" s="5" t="s">
        <v>143</v>
      </c>
      <c r="H113" s="5" t="s">
        <v>160</v>
      </c>
      <c r="I113" s="5"/>
      <c r="J113" s="5"/>
      <c r="K113" s="5"/>
      <c r="L113" s="5"/>
      <c r="M113" s="5"/>
      <c r="N113" s="5"/>
      <c r="O113" s="5"/>
      <c r="P113" s="5"/>
      <c r="Q113" s="5"/>
      <c r="R113" s="5"/>
      <c r="S113" s="5"/>
      <c r="T113" s="5"/>
      <c r="U113" s="5"/>
      <c r="V113" s="5"/>
      <c r="W113" s="5"/>
      <c r="X113" s="5"/>
      <c r="Y113" s="5"/>
    </row>
    <row r="114" spans="1:25" ht="15.75" customHeight="1">
      <c r="A114" s="5"/>
      <c r="B114" s="5"/>
      <c r="C114" s="5"/>
      <c r="D114" s="5"/>
      <c r="E114" s="5"/>
      <c r="F114" s="5"/>
      <c r="G114" s="5" t="s">
        <v>38</v>
      </c>
      <c r="H114" s="5">
        <f>YEAR(E2)</f>
        <v>2015</v>
      </c>
      <c r="I114" s="5"/>
      <c r="J114" s="5" t="s">
        <v>174</v>
      </c>
      <c r="K114" s="5" t="s">
        <v>175</v>
      </c>
      <c r="L114" s="5"/>
      <c r="M114" s="5"/>
      <c r="N114" s="5"/>
      <c r="O114" s="5"/>
      <c r="P114" s="5"/>
      <c r="Q114" s="5"/>
      <c r="R114" s="5"/>
      <c r="S114" s="5"/>
      <c r="T114" s="5"/>
      <c r="U114" s="5"/>
      <c r="V114" s="5"/>
      <c r="W114" s="5"/>
      <c r="X114" s="5"/>
      <c r="Y114" s="5"/>
    </row>
    <row r="115" spans="1:25" ht="15.75" customHeight="1">
      <c r="A115" s="5"/>
      <c r="B115" s="5"/>
      <c r="C115" s="5"/>
      <c r="D115" s="5"/>
      <c r="E115" s="5"/>
      <c r="F115" s="5"/>
      <c r="G115" s="5"/>
      <c r="H115" s="5"/>
      <c r="I115" s="5"/>
      <c r="J115" s="14">
        <v>0.1</v>
      </c>
      <c r="K115" s="5">
        <f>D2*$J$2</f>
        <v>0</v>
      </c>
      <c r="L115" s="5"/>
      <c r="M115" s="5"/>
      <c r="N115" s="5"/>
      <c r="O115" s="5"/>
      <c r="P115" s="5"/>
      <c r="Q115" s="5"/>
      <c r="R115" s="5"/>
      <c r="S115" s="5"/>
      <c r="T115" s="5"/>
      <c r="U115" s="5"/>
      <c r="V115" s="5"/>
      <c r="W115" s="5"/>
      <c r="X115" s="5"/>
      <c r="Y115" s="5"/>
    </row>
    <row r="116" spans="1:25"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5.75" customHeight="1">
      <c r="A117" s="5"/>
      <c r="B117" s="5"/>
      <c r="C117" s="5"/>
      <c r="D117" s="5"/>
      <c r="E117" s="5"/>
      <c r="F117" s="5"/>
      <c r="G117" s="5" t="s">
        <v>143</v>
      </c>
      <c r="H117" s="5" t="s">
        <v>161</v>
      </c>
      <c r="I117" s="5"/>
      <c r="J117" s="5"/>
      <c r="K117" s="5"/>
      <c r="L117" s="5"/>
      <c r="M117" s="5"/>
      <c r="N117" s="5"/>
      <c r="O117" s="5"/>
      <c r="P117" s="5"/>
      <c r="Q117" s="5"/>
      <c r="R117" s="5"/>
      <c r="S117" s="5"/>
      <c r="T117" s="5"/>
      <c r="U117" s="5"/>
      <c r="V117" s="5"/>
      <c r="W117" s="5"/>
      <c r="X117" s="5"/>
      <c r="Y117" s="5"/>
    </row>
    <row r="118" spans="1:25" ht="15.75" customHeight="1">
      <c r="A118" s="5"/>
      <c r="B118" s="5"/>
      <c r="C118" s="5"/>
      <c r="D118" s="5"/>
      <c r="E118" s="5"/>
      <c r="F118" s="5"/>
      <c r="G118" s="5" t="s">
        <v>38</v>
      </c>
      <c r="H118" s="5">
        <f>MONTH(E2)</f>
        <v>1</v>
      </c>
      <c r="I118" s="5"/>
      <c r="J118" s="5"/>
      <c r="K118" s="5"/>
      <c r="L118" s="5"/>
      <c r="M118" s="5"/>
      <c r="N118" s="5"/>
      <c r="O118" s="5"/>
      <c r="P118" s="5"/>
      <c r="Q118" s="5"/>
      <c r="R118" s="5"/>
      <c r="S118" s="5"/>
      <c r="T118" s="5"/>
      <c r="U118" s="5"/>
      <c r="V118" s="5"/>
      <c r="W118" s="5"/>
      <c r="X118" s="5"/>
      <c r="Y118" s="5"/>
    </row>
    <row r="119" spans="1:25"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5.75" customHeight="1">
      <c r="A121" s="5"/>
      <c r="B121" s="5"/>
      <c r="C121" s="5"/>
      <c r="D121" s="5"/>
      <c r="E121" s="5"/>
      <c r="F121" s="5"/>
      <c r="G121" s="5" t="s">
        <v>167</v>
      </c>
      <c r="H121" s="5" t="s">
        <v>168</v>
      </c>
      <c r="I121" s="5"/>
      <c r="J121" s="5"/>
      <c r="K121" s="5"/>
      <c r="L121" s="5"/>
      <c r="M121" s="5"/>
      <c r="N121" s="5"/>
      <c r="O121" s="5"/>
      <c r="P121" s="5"/>
      <c r="Q121" s="5"/>
      <c r="R121" s="5"/>
      <c r="S121" s="5"/>
      <c r="T121" s="5"/>
      <c r="U121" s="5"/>
      <c r="V121" s="5"/>
      <c r="W121" s="5"/>
      <c r="X121" s="5"/>
      <c r="Y121" s="5"/>
    </row>
    <row r="122" spans="1:25" ht="15.75" customHeight="1">
      <c r="A122" s="5"/>
      <c r="B122" s="5"/>
      <c r="C122" s="5"/>
      <c r="D122" s="5"/>
      <c r="E122" s="5"/>
      <c r="F122" s="5"/>
      <c r="G122" s="12">
        <v>37483</v>
      </c>
      <c r="H122" s="5">
        <f ca="1">DATEDIF(G122,TODAY(),"Y")</f>
        <v>24</v>
      </c>
      <c r="I122" s="5"/>
      <c r="J122" s="5"/>
      <c r="K122" s="5"/>
      <c r="L122" s="5"/>
      <c r="M122" s="5"/>
      <c r="N122" s="5"/>
      <c r="O122" s="5"/>
      <c r="P122" s="5"/>
      <c r="Q122" s="5"/>
      <c r="R122" s="5"/>
      <c r="S122" s="5"/>
      <c r="T122" s="5"/>
      <c r="U122" s="5"/>
      <c r="V122" s="5"/>
      <c r="W122" s="5"/>
      <c r="X122" s="5"/>
      <c r="Y122" s="5"/>
    </row>
    <row r="123" spans="1:25"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5.75" customHeight="1">
      <c r="A125" s="5"/>
      <c r="B125" s="5"/>
      <c r="C125" s="5"/>
      <c r="D125" s="5"/>
      <c r="E125" s="5"/>
      <c r="F125" s="5"/>
      <c r="G125" s="5" t="s">
        <v>169</v>
      </c>
      <c r="H125" s="5" t="s">
        <v>170</v>
      </c>
      <c r="I125" s="5"/>
      <c r="J125" s="5"/>
      <c r="K125" s="5"/>
      <c r="L125" s="5"/>
      <c r="M125" s="5"/>
      <c r="N125" s="5"/>
      <c r="O125" s="5"/>
      <c r="P125" s="5"/>
      <c r="Q125" s="5"/>
      <c r="R125" s="5"/>
      <c r="S125" s="5"/>
      <c r="T125" s="5"/>
      <c r="U125" s="5"/>
      <c r="V125" s="5"/>
      <c r="W125" s="5"/>
      <c r="X125" s="5"/>
      <c r="Y125" s="5"/>
    </row>
    <row r="126" spans="1:25" ht="15.75" customHeight="1">
      <c r="A126" s="5"/>
      <c r="B126" s="5"/>
      <c r="C126" s="5"/>
      <c r="D126" s="5"/>
      <c r="E126" s="5"/>
      <c r="F126" s="5"/>
      <c r="G126" s="5">
        <f>D2</f>
        <v>86766</v>
      </c>
      <c r="H126" s="5">
        <f>ROUND(G126,-3)</f>
        <v>87000</v>
      </c>
      <c r="I126" s="5"/>
      <c r="J126" s="5"/>
      <c r="K126" s="5"/>
      <c r="L126" s="5"/>
      <c r="M126" s="5"/>
      <c r="N126" s="5"/>
      <c r="O126" s="5"/>
      <c r="P126" s="5"/>
      <c r="Q126" s="5"/>
      <c r="R126" s="5"/>
      <c r="S126" s="5"/>
      <c r="T126" s="5"/>
      <c r="U126" s="5"/>
      <c r="V126" s="5"/>
      <c r="W126" s="5"/>
      <c r="X126" s="5"/>
      <c r="Y126" s="5"/>
    </row>
    <row r="127" spans="1:25"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5.75" customHeight="1">
      <c r="A129" s="5"/>
      <c r="B129" s="5"/>
      <c r="C129" s="5"/>
      <c r="D129" s="5"/>
      <c r="E129" s="5"/>
      <c r="F129" s="5"/>
      <c r="G129" s="5" t="s">
        <v>169</v>
      </c>
      <c r="H129" s="5" t="s">
        <v>171</v>
      </c>
      <c r="I129" s="5"/>
      <c r="J129" s="5"/>
      <c r="K129" s="5"/>
      <c r="L129" s="5"/>
      <c r="M129" s="5"/>
      <c r="N129" s="5"/>
      <c r="O129" s="5"/>
      <c r="P129" s="5"/>
      <c r="Q129" s="5"/>
      <c r="R129" s="5"/>
      <c r="S129" s="5"/>
      <c r="T129" s="5"/>
      <c r="U129" s="5"/>
      <c r="V129" s="5"/>
      <c r="W129" s="5"/>
      <c r="X129" s="5"/>
      <c r="Y129" s="5"/>
    </row>
    <row r="130" spans="1:25" ht="15.75" customHeight="1">
      <c r="A130" s="5"/>
      <c r="B130" s="5"/>
      <c r="C130" s="5"/>
      <c r="D130" s="5"/>
      <c r="E130" s="5"/>
      <c r="F130" s="5"/>
      <c r="G130" s="5">
        <f>D2</f>
        <v>86766</v>
      </c>
      <c r="H130" s="5">
        <f>CEILING(G130,1000)</f>
        <v>87000</v>
      </c>
      <c r="I130" s="5"/>
      <c r="J130" s="5"/>
      <c r="K130" s="5"/>
      <c r="L130" s="5"/>
      <c r="M130" s="5"/>
      <c r="N130" s="5"/>
      <c r="O130" s="5"/>
      <c r="P130" s="5"/>
      <c r="Q130" s="5"/>
      <c r="R130" s="5"/>
      <c r="S130" s="5"/>
      <c r="T130" s="5"/>
      <c r="U130" s="5"/>
      <c r="V130" s="5"/>
      <c r="W130" s="5"/>
      <c r="X130" s="5"/>
      <c r="Y130" s="5"/>
    </row>
    <row r="131" spans="1:25"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5.75" customHeight="1">
      <c r="A133" s="5"/>
      <c r="B133" s="5"/>
      <c r="C133" s="5"/>
      <c r="D133" s="5"/>
      <c r="E133" s="5"/>
      <c r="F133" s="5"/>
      <c r="G133" s="5" t="s">
        <v>169</v>
      </c>
      <c r="H133" s="5" t="s">
        <v>172</v>
      </c>
      <c r="I133" s="5"/>
      <c r="J133" s="5"/>
      <c r="K133" s="5"/>
      <c r="L133" s="5"/>
      <c r="M133" s="5"/>
      <c r="N133" s="5"/>
      <c r="O133" s="5"/>
      <c r="P133" s="5"/>
      <c r="Q133" s="5"/>
      <c r="R133" s="5"/>
      <c r="S133" s="5"/>
      <c r="T133" s="5"/>
      <c r="U133" s="5"/>
      <c r="V133" s="5"/>
      <c r="W133" s="5"/>
      <c r="X133" s="5"/>
      <c r="Y133" s="5"/>
    </row>
    <row r="134" spans="1:25" ht="15.75" customHeight="1">
      <c r="A134" s="5"/>
      <c r="B134" s="5"/>
      <c r="C134" s="5"/>
      <c r="D134" s="5"/>
      <c r="E134" s="5"/>
      <c r="F134" s="5"/>
      <c r="G134" s="5">
        <f>D2</f>
        <v>86766</v>
      </c>
      <c r="H134" s="5">
        <f>FLOOR(G134,1000)</f>
        <v>86000</v>
      </c>
      <c r="I134" s="5"/>
      <c r="J134" s="5"/>
      <c r="K134" s="5"/>
      <c r="L134" s="5"/>
      <c r="M134" s="5"/>
      <c r="N134" s="5"/>
      <c r="O134" s="5"/>
      <c r="P134" s="5"/>
      <c r="Q134" s="5"/>
      <c r="R134" s="5"/>
      <c r="S134" s="5"/>
      <c r="T134" s="5"/>
      <c r="U134" s="5"/>
      <c r="V134" s="5"/>
      <c r="W134" s="5"/>
      <c r="X134" s="5"/>
      <c r="Y134" s="5"/>
    </row>
    <row r="135" spans="1:2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spans="1:25"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 patel</dc:creator>
  <cp:lastModifiedBy>shreypatel327@gmail.com</cp:lastModifiedBy>
  <dcterms:created xsi:type="dcterms:W3CDTF">2026-10-22T04:51:27Z</dcterms:created>
  <dcterms:modified xsi:type="dcterms:W3CDTF">2026-10-22T04:58:08Z</dcterms:modified>
</cp:coreProperties>
</file>